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ccargo-my.sharepoint.com/personal/analista_operacion3_imccargo_com/Documents/Escritorio/INVENTARIO LATIN/2026/"/>
    </mc:Choice>
  </mc:AlternateContent>
  <xr:revisionPtr revIDLastSave="1677" documentId="8_{009B4479-C8E4-4578-BC18-A98DF902E555}" xr6:coauthVersionLast="47" xr6:coauthVersionMax="47" xr10:uidLastSave="{DB603171-FE15-4377-AB82-C3E453E68564}"/>
  <bookViews>
    <workbookView xWindow="-120" yWindow="-120" windowWidth="29040" windowHeight="15840" activeTab="1" xr2:uid="{D0A1FEB0-6045-44D3-B550-A0902326ED04}"/>
  </bookViews>
  <sheets>
    <sheet name="INVENTARIO IMC" sheetId="1" r:id="rId1"/>
    <sheet name="VS" sheetId="4" r:id="rId2"/>
    <sheet name="INVENTARIO LATIN" sheetId="2" r:id="rId3"/>
    <sheet name="Hoja1" sheetId="5" state="hidden" r:id="rId4"/>
  </sheets>
  <definedNames>
    <definedName name="_xlnm._FilterDatabase" localSheetId="0" hidden="1">'INVENTARIO IMC'!$A$1:$P$329</definedName>
    <definedName name="_xlnm._FilterDatabase" localSheetId="2" hidden="1">'INVENTARIO LATIN'!$A$5:$K$213</definedName>
    <definedName name="_xlnm._FilterDatabase" localSheetId="1" hidden="1">VS!$I$3:$T$211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1" i="4" l="1"/>
  <c r="Q211" i="4"/>
  <c r="R210" i="4"/>
  <c r="Q210" i="4"/>
  <c r="S210" i="4" s="1"/>
  <c r="R209" i="4"/>
  <c r="Q209" i="4"/>
  <c r="R208" i="4"/>
  <c r="Q208" i="4"/>
  <c r="S208" i="4" s="1"/>
  <c r="R207" i="4"/>
  <c r="Q207" i="4"/>
  <c r="R206" i="4"/>
  <c r="Q206" i="4"/>
  <c r="S206" i="4" s="1"/>
  <c r="R205" i="4"/>
  <c r="Q205" i="4"/>
  <c r="R204" i="4"/>
  <c r="Q204" i="4"/>
  <c r="S204" i="4" s="1"/>
  <c r="R203" i="4"/>
  <c r="Q203" i="4"/>
  <c r="R202" i="4"/>
  <c r="Q202" i="4"/>
  <c r="S202" i="4" s="1"/>
  <c r="R201" i="4"/>
  <c r="Q201" i="4"/>
  <c r="R200" i="4"/>
  <c r="Q200" i="4"/>
  <c r="S200" i="4" s="1"/>
  <c r="R199" i="4"/>
  <c r="Q199" i="4"/>
  <c r="R198" i="4"/>
  <c r="Q198" i="4"/>
  <c r="S198" i="4" s="1"/>
  <c r="R197" i="4"/>
  <c r="Q197" i="4"/>
  <c r="R196" i="4"/>
  <c r="Q196" i="4"/>
  <c r="S196" i="4" s="1"/>
  <c r="R195" i="4"/>
  <c r="Q195" i="4"/>
  <c r="R194" i="4"/>
  <c r="Q194" i="4"/>
  <c r="S194" i="4" s="1"/>
  <c r="R193" i="4"/>
  <c r="Q193" i="4"/>
  <c r="R192" i="4"/>
  <c r="Q192" i="4"/>
  <c r="S192" i="4" s="1"/>
  <c r="R191" i="4"/>
  <c r="Q191" i="4"/>
  <c r="R190" i="4"/>
  <c r="Q190" i="4"/>
  <c r="S190" i="4" s="1"/>
  <c r="R189" i="4"/>
  <c r="Q189" i="4"/>
  <c r="R188" i="4"/>
  <c r="Q188" i="4"/>
  <c r="S188" i="4" s="1"/>
  <c r="R187" i="4"/>
  <c r="Q187" i="4"/>
  <c r="R186" i="4"/>
  <c r="Q186" i="4"/>
  <c r="S186" i="4" s="1"/>
  <c r="R185" i="4"/>
  <c r="Q185" i="4"/>
  <c r="R184" i="4"/>
  <c r="Q184" i="4"/>
  <c r="S184" i="4" s="1"/>
  <c r="R183" i="4"/>
  <c r="Q183" i="4"/>
  <c r="R182" i="4"/>
  <c r="Q182" i="4"/>
  <c r="S182" i="4" s="1"/>
  <c r="R181" i="4"/>
  <c r="Q181" i="4"/>
  <c r="R180" i="4"/>
  <c r="Q180" i="4"/>
  <c r="S180" i="4" s="1"/>
  <c r="R179" i="4"/>
  <c r="Q179" i="4"/>
  <c r="R178" i="4"/>
  <c r="Q178" i="4"/>
  <c r="S178" i="4" s="1"/>
  <c r="R177" i="4"/>
  <c r="Q177" i="4"/>
  <c r="R176" i="4"/>
  <c r="Q176" i="4"/>
  <c r="S176" i="4" s="1"/>
  <c r="R175" i="4"/>
  <c r="Q175" i="4"/>
  <c r="R174" i="4"/>
  <c r="Q174" i="4"/>
  <c r="S174" i="4" s="1"/>
  <c r="R173" i="4"/>
  <c r="Q173" i="4"/>
  <c r="R172" i="4"/>
  <c r="Q172" i="4"/>
  <c r="S172" i="4" s="1"/>
  <c r="R171" i="4"/>
  <c r="Q171" i="4"/>
  <c r="R170" i="4"/>
  <c r="Q170" i="4"/>
  <c r="S170" i="4" s="1"/>
  <c r="R169" i="4"/>
  <c r="Q169" i="4"/>
  <c r="R168" i="4"/>
  <c r="Q168" i="4"/>
  <c r="S168" i="4" s="1"/>
  <c r="R167" i="4"/>
  <c r="Q167" i="4"/>
  <c r="R166" i="4"/>
  <c r="Q166" i="4"/>
  <c r="S166" i="4" s="1"/>
  <c r="R165" i="4"/>
  <c r="Q165" i="4"/>
  <c r="R164" i="4"/>
  <c r="Q164" i="4"/>
  <c r="S164" i="4" s="1"/>
  <c r="R163" i="4"/>
  <c r="Q163" i="4"/>
  <c r="R162" i="4"/>
  <c r="Q162" i="4"/>
  <c r="S162" i="4" s="1"/>
  <c r="R161" i="4"/>
  <c r="Q161" i="4"/>
  <c r="R160" i="4"/>
  <c r="Q160" i="4"/>
  <c r="S160" i="4" s="1"/>
  <c r="R159" i="4"/>
  <c r="Q159" i="4"/>
  <c r="R158" i="4"/>
  <c r="Q158" i="4"/>
  <c r="S158" i="4" s="1"/>
  <c r="R157" i="4"/>
  <c r="Q157" i="4"/>
  <c r="R156" i="4"/>
  <c r="Q156" i="4"/>
  <c r="S156" i="4" s="1"/>
  <c r="R155" i="4"/>
  <c r="Q155" i="4"/>
  <c r="R154" i="4"/>
  <c r="Q154" i="4"/>
  <c r="S154" i="4" s="1"/>
  <c r="R153" i="4"/>
  <c r="Q153" i="4"/>
  <c r="R152" i="4"/>
  <c r="Q152" i="4"/>
  <c r="S152" i="4" s="1"/>
  <c r="R151" i="4"/>
  <c r="Q151" i="4"/>
  <c r="R150" i="4"/>
  <c r="Q150" i="4"/>
  <c r="S150" i="4" s="1"/>
  <c r="R149" i="4"/>
  <c r="Q149" i="4"/>
  <c r="R148" i="4"/>
  <c r="Q148" i="4"/>
  <c r="S148" i="4" s="1"/>
  <c r="R147" i="4"/>
  <c r="Q147" i="4"/>
  <c r="R146" i="4"/>
  <c r="Q146" i="4"/>
  <c r="S146" i="4" s="1"/>
  <c r="R145" i="4"/>
  <c r="Q145" i="4"/>
  <c r="R144" i="4"/>
  <c r="Q144" i="4"/>
  <c r="S144" i="4" s="1"/>
  <c r="R143" i="4"/>
  <c r="Q143" i="4"/>
  <c r="R142" i="4"/>
  <c r="Q142" i="4"/>
  <c r="S142" i="4" s="1"/>
  <c r="R141" i="4"/>
  <c r="Q141" i="4"/>
  <c r="R140" i="4"/>
  <c r="Q140" i="4"/>
  <c r="S140" i="4" s="1"/>
  <c r="R139" i="4"/>
  <c r="Q139" i="4"/>
  <c r="R138" i="4"/>
  <c r="Q138" i="4"/>
  <c r="S138" i="4" s="1"/>
  <c r="R137" i="4"/>
  <c r="Q137" i="4"/>
  <c r="R136" i="4"/>
  <c r="Q136" i="4"/>
  <c r="S136" i="4" s="1"/>
  <c r="R135" i="4"/>
  <c r="Q135" i="4"/>
  <c r="R134" i="4"/>
  <c r="Q134" i="4"/>
  <c r="S134" i="4" s="1"/>
  <c r="R133" i="4"/>
  <c r="Q133" i="4"/>
  <c r="R132" i="4"/>
  <c r="Q132" i="4"/>
  <c r="S132" i="4" s="1"/>
  <c r="R131" i="4"/>
  <c r="Q131" i="4"/>
  <c r="R130" i="4"/>
  <c r="Q130" i="4"/>
  <c r="S130" i="4" s="1"/>
  <c r="R129" i="4"/>
  <c r="Q129" i="4"/>
  <c r="R128" i="4"/>
  <c r="Q128" i="4"/>
  <c r="S128" i="4" s="1"/>
  <c r="R127" i="4"/>
  <c r="Q127" i="4"/>
  <c r="R126" i="4"/>
  <c r="Q126" i="4"/>
  <c r="S126" i="4" s="1"/>
  <c r="R125" i="4"/>
  <c r="Q125" i="4"/>
  <c r="R124" i="4"/>
  <c r="Q124" i="4"/>
  <c r="S124" i="4" s="1"/>
  <c r="R123" i="4"/>
  <c r="Q123" i="4"/>
  <c r="R122" i="4"/>
  <c r="Q122" i="4"/>
  <c r="S122" i="4" s="1"/>
  <c r="R121" i="4"/>
  <c r="Q121" i="4"/>
  <c r="R120" i="4"/>
  <c r="Q120" i="4"/>
  <c r="S120" i="4" s="1"/>
  <c r="R119" i="4"/>
  <c r="Q119" i="4"/>
  <c r="R118" i="4"/>
  <c r="Q118" i="4"/>
  <c r="S118" i="4" s="1"/>
  <c r="R117" i="4"/>
  <c r="Q117" i="4"/>
  <c r="R116" i="4"/>
  <c r="Q116" i="4"/>
  <c r="S116" i="4" s="1"/>
  <c r="R115" i="4"/>
  <c r="Q115" i="4"/>
  <c r="R114" i="4"/>
  <c r="Q114" i="4"/>
  <c r="S114" i="4" s="1"/>
  <c r="R113" i="4"/>
  <c r="Q113" i="4"/>
  <c r="R112" i="4"/>
  <c r="Q112" i="4"/>
  <c r="S112" i="4" s="1"/>
  <c r="R111" i="4"/>
  <c r="Q111" i="4"/>
  <c r="R110" i="4"/>
  <c r="Q110" i="4"/>
  <c r="S110" i="4" s="1"/>
  <c r="R109" i="4"/>
  <c r="Q109" i="4"/>
  <c r="R108" i="4"/>
  <c r="Q108" i="4"/>
  <c r="R107" i="4"/>
  <c r="Q107" i="4"/>
  <c r="R106" i="4"/>
  <c r="Q106" i="4"/>
  <c r="R105" i="4"/>
  <c r="Q105" i="4"/>
  <c r="R104" i="4"/>
  <c r="Q104" i="4"/>
  <c r="S104" i="4" s="1"/>
  <c r="R103" i="4"/>
  <c r="Q103" i="4"/>
  <c r="R102" i="4"/>
  <c r="Q102" i="4"/>
  <c r="R101" i="4"/>
  <c r="Q101" i="4"/>
  <c r="R100" i="4"/>
  <c r="Q100" i="4"/>
  <c r="S100" i="4" s="1"/>
  <c r="R99" i="4"/>
  <c r="Q99" i="4"/>
  <c r="R98" i="4"/>
  <c r="Q98" i="4"/>
  <c r="S98" i="4" s="1"/>
  <c r="R97" i="4"/>
  <c r="Q97" i="4"/>
  <c r="R96" i="4"/>
  <c r="Q96" i="4"/>
  <c r="S96" i="4" s="1"/>
  <c r="R95" i="4"/>
  <c r="Q95" i="4"/>
  <c r="R94" i="4"/>
  <c r="Q94" i="4"/>
  <c r="R93" i="4"/>
  <c r="Q93" i="4"/>
  <c r="R92" i="4"/>
  <c r="Q92" i="4"/>
  <c r="S92" i="4" s="1"/>
  <c r="R91" i="4"/>
  <c r="Q91" i="4"/>
  <c r="R90" i="4"/>
  <c r="Q90" i="4"/>
  <c r="S90" i="4" s="1"/>
  <c r="R89" i="4"/>
  <c r="T89" i="4" s="1"/>
  <c r="Q89" i="4"/>
  <c r="R88" i="4"/>
  <c r="Q88" i="4"/>
  <c r="R87" i="4"/>
  <c r="Q87" i="4"/>
  <c r="R86" i="4"/>
  <c r="Q86" i="4"/>
  <c r="R85" i="4"/>
  <c r="Q85" i="4"/>
  <c r="R84" i="4"/>
  <c r="Q84" i="4"/>
  <c r="R83" i="4"/>
  <c r="Q83" i="4"/>
  <c r="R82" i="4"/>
  <c r="Q82" i="4"/>
  <c r="R81" i="4"/>
  <c r="Q81" i="4"/>
  <c r="R80" i="4"/>
  <c r="Q80" i="4"/>
  <c r="R79" i="4"/>
  <c r="Q79" i="4"/>
  <c r="R78" i="4"/>
  <c r="T78" i="4" s="1"/>
  <c r="Q78" i="4"/>
  <c r="R77" i="4"/>
  <c r="Q77" i="4"/>
  <c r="R76" i="4"/>
  <c r="Q76" i="4"/>
  <c r="R75" i="4"/>
  <c r="Q75" i="4"/>
  <c r="R74" i="4"/>
  <c r="T74" i="4" s="1"/>
  <c r="Q74" i="4"/>
  <c r="S74" i="4" s="1"/>
  <c r="R73" i="4"/>
  <c r="Q73" i="4"/>
  <c r="S73" i="4" s="1"/>
  <c r="R72" i="4"/>
  <c r="Q72" i="4"/>
  <c r="S72" i="4" s="1"/>
  <c r="R71" i="4"/>
  <c r="Q71" i="4"/>
  <c r="R70" i="4"/>
  <c r="Q70" i="4"/>
  <c r="S70" i="4" s="1"/>
  <c r="R69" i="4"/>
  <c r="Q69" i="4"/>
  <c r="S69" i="4" s="1"/>
  <c r="R68" i="4"/>
  <c r="Q68" i="4"/>
  <c r="S68" i="4" s="1"/>
  <c r="R67" i="4"/>
  <c r="Q67" i="4"/>
  <c r="S67" i="4" s="1"/>
  <c r="R66" i="4"/>
  <c r="Q66" i="4"/>
  <c r="S66" i="4" s="1"/>
  <c r="R65" i="4"/>
  <c r="Q65" i="4"/>
  <c r="R64" i="4"/>
  <c r="Q64" i="4"/>
  <c r="S64" i="4" s="1"/>
  <c r="R63" i="4"/>
  <c r="Q63" i="4"/>
  <c r="R62" i="4"/>
  <c r="Q62" i="4"/>
  <c r="S62" i="4" s="1"/>
  <c r="R61" i="4"/>
  <c r="Q61" i="4"/>
  <c r="R60" i="4"/>
  <c r="Q60" i="4"/>
  <c r="S60" i="4" s="1"/>
  <c r="R59" i="4"/>
  <c r="Q59" i="4"/>
  <c r="R58" i="4"/>
  <c r="Q58" i="4"/>
  <c r="S58" i="4" s="1"/>
  <c r="R57" i="4"/>
  <c r="Q57" i="4"/>
  <c r="S57" i="4" s="1"/>
  <c r="R56" i="4"/>
  <c r="Q56" i="4"/>
  <c r="S56" i="4" s="1"/>
  <c r="R55" i="4"/>
  <c r="Q55" i="4"/>
  <c r="R54" i="4"/>
  <c r="Q54" i="4"/>
  <c r="S54" i="4" s="1"/>
  <c r="R53" i="4"/>
  <c r="Q53" i="4"/>
  <c r="S53" i="4" s="1"/>
  <c r="R52" i="4"/>
  <c r="Q52" i="4"/>
  <c r="T52" i="4" s="1"/>
  <c r="R51" i="4"/>
  <c r="Q51" i="4"/>
  <c r="T51" i="4" s="1"/>
  <c r="R50" i="4"/>
  <c r="Q50" i="4"/>
  <c r="T50" i="4" s="1"/>
  <c r="R49" i="4"/>
  <c r="Q49" i="4"/>
  <c r="T49" i="4" s="1"/>
  <c r="R48" i="4"/>
  <c r="Q48" i="4"/>
  <c r="T48" i="4" s="1"/>
  <c r="R47" i="4"/>
  <c r="Q47" i="4"/>
  <c r="T47" i="4" s="1"/>
  <c r="R46" i="4"/>
  <c r="Q46" i="4"/>
  <c r="T46" i="4" s="1"/>
  <c r="R45" i="4"/>
  <c r="Q45" i="4"/>
  <c r="T45" i="4" s="1"/>
  <c r="R44" i="4"/>
  <c r="Q44" i="4"/>
  <c r="T44" i="4" s="1"/>
  <c r="R43" i="4"/>
  <c r="Q43" i="4"/>
  <c r="T43" i="4" s="1"/>
  <c r="R42" i="4"/>
  <c r="Q42" i="4"/>
  <c r="T42" i="4" s="1"/>
  <c r="R41" i="4"/>
  <c r="Q41" i="4"/>
  <c r="T41" i="4" s="1"/>
  <c r="R40" i="4"/>
  <c r="Q40" i="4"/>
  <c r="T40" i="4" s="1"/>
  <c r="R39" i="4"/>
  <c r="Q39" i="4"/>
  <c r="T39" i="4" s="1"/>
  <c r="R38" i="4"/>
  <c r="Q38" i="4"/>
  <c r="T38" i="4" s="1"/>
  <c r="R37" i="4"/>
  <c r="Q37" i="4"/>
  <c r="T37" i="4" s="1"/>
  <c r="R36" i="4"/>
  <c r="Q36" i="4"/>
  <c r="T36" i="4" s="1"/>
  <c r="R35" i="4"/>
  <c r="Q35" i="4"/>
  <c r="T35" i="4" s="1"/>
  <c r="R34" i="4"/>
  <c r="Q34" i="4"/>
  <c r="T34" i="4" s="1"/>
  <c r="R33" i="4"/>
  <c r="Q33" i="4"/>
  <c r="T33" i="4" s="1"/>
  <c r="R32" i="4"/>
  <c r="Q32" i="4"/>
  <c r="T32" i="4" s="1"/>
  <c r="R31" i="4"/>
  <c r="Q31" i="4"/>
  <c r="T31" i="4" s="1"/>
  <c r="R30" i="4"/>
  <c r="Q30" i="4"/>
  <c r="T30" i="4" s="1"/>
  <c r="R29" i="4"/>
  <c r="Q29" i="4"/>
  <c r="T29" i="4" s="1"/>
  <c r="R28" i="4"/>
  <c r="Q28" i="4"/>
  <c r="T28" i="4" s="1"/>
  <c r="R27" i="4"/>
  <c r="Q27" i="4"/>
  <c r="T27" i="4" s="1"/>
  <c r="R26" i="4"/>
  <c r="Q26" i="4"/>
  <c r="T26" i="4" s="1"/>
  <c r="R25" i="4"/>
  <c r="Q25" i="4"/>
  <c r="T25" i="4" s="1"/>
  <c r="R24" i="4"/>
  <c r="Q24" i="4"/>
  <c r="T24" i="4" s="1"/>
  <c r="R23" i="4"/>
  <c r="Q23" i="4"/>
  <c r="T23" i="4" s="1"/>
  <c r="R22" i="4"/>
  <c r="Q22" i="4"/>
  <c r="T22" i="4" s="1"/>
  <c r="R21" i="4"/>
  <c r="Q21" i="4"/>
  <c r="T21" i="4" s="1"/>
  <c r="R20" i="4"/>
  <c r="Q20" i="4"/>
  <c r="T20" i="4" s="1"/>
  <c r="R19" i="4"/>
  <c r="Q19" i="4"/>
  <c r="T19" i="4" s="1"/>
  <c r="R18" i="4"/>
  <c r="Q18" i="4"/>
  <c r="T18" i="4" s="1"/>
  <c r="R17" i="4"/>
  <c r="Q17" i="4"/>
  <c r="T17" i="4" s="1"/>
  <c r="R16" i="4"/>
  <c r="Q16" i="4"/>
  <c r="T16" i="4" s="1"/>
  <c r="R15" i="4"/>
  <c r="Q15" i="4"/>
  <c r="T15" i="4" s="1"/>
  <c r="R14" i="4"/>
  <c r="Q14" i="4"/>
  <c r="T14" i="4" s="1"/>
  <c r="R13" i="4"/>
  <c r="Q13" i="4"/>
  <c r="T13" i="4" s="1"/>
  <c r="R12" i="4"/>
  <c r="Q12" i="4"/>
  <c r="T12" i="4" s="1"/>
  <c r="R11" i="4"/>
  <c r="Q11" i="4"/>
  <c r="T11" i="4" s="1"/>
  <c r="R10" i="4"/>
  <c r="Q10" i="4"/>
  <c r="T10" i="4" s="1"/>
  <c r="R9" i="4"/>
  <c r="Q9" i="4"/>
  <c r="T9" i="4" s="1"/>
  <c r="R8" i="4"/>
  <c r="Q8" i="4"/>
  <c r="T8" i="4" s="1"/>
  <c r="R7" i="4"/>
  <c r="Q7" i="4"/>
  <c r="T7" i="4" s="1"/>
  <c r="R6" i="4"/>
  <c r="Q6" i="4"/>
  <c r="T6" i="4" s="1"/>
  <c r="R5" i="4"/>
  <c r="Q5" i="4"/>
  <c r="T5" i="4" s="1"/>
  <c r="S75" i="4" l="1"/>
  <c r="S77" i="4"/>
  <c r="S79" i="4"/>
  <c r="S83" i="4"/>
  <c r="S85" i="4"/>
  <c r="S87" i="4"/>
  <c r="S89" i="4"/>
  <c r="S99" i="4"/>
  <c r="S101" i="4"/>
  <c r="S103" i="4"/>
  <c r="S105" i="4"/>
  <c r="S107" i="4"/>
  <c r="S109" i="4"/>
  <c r="S111" i="4"/>
  <c r="S113" i="4"/>
  <c r="S115" i="4"/>
  <c r="S117" i="4"/>
  <c r="S119" i="4"/>
  <c r="S121" i="4"/>
  <c r="S123" i="4"/>
  <c r="S125" i="4"/>
  <c r="S127" i="4"/>
  <c r="S185" i="4"/>
  <c r="S187" i="4"/>
  <c r="S189" i="4"/>
  <c r="S191" i="4"/>
  <c r="S193" i="4"/>
  <c r="S195" i="4"/>
  <c r="S197" i="4"/>
  <c r="S199" i="4"/>
  <c r="S201" i="4"/>
  <c r="S203" i="4"/>
  <c r="S205" i="4"/>
  <c r="S207" i="4"/>
  <c r="S209" i="4"/>
  <c r="S211" i="4"/>
  <c r="T59" i="4"/>
  <c r="T63" i="4"/>
  <c r="T106" i="4"/>
  <c r="T108" i="4"/>
  <c r="T79" i="4"/>
  <c r="T58" i="4"/>
  <c r="T66" i="4"/>
  <c r="S80" i="4"/>
  <c r="S82" i="4"/>
  <c r="S88" i="4"/>
  <c r="T93" i="4"/>
  <c r="T97" i="4"/>
  <c r="T105" i="4"/>
  <c r="T67" i="4"/>
  <c r="T110" i="4"/>
  <c r="T116" i="4"/>
  <c r="T124" i="4"/>
  <c r="T54" i="4"/>
  <c r="T71" i="4"/>
  <c r="T82" i="4"/>
  <c r="T114" i="4"/>
  <c r="T118" i="4"/>
  <c r="T120" i="4"/>
  <c r="T126" i="4"/>
  <c r="T90" i="4"/>
  <c r="T94" i="4"/>
  <c r="T86" i="4"/>
  <c r="T101" i="4"/>
  <c r="T112" i="4"/>
  <c r="T122" i="4"/>
  <c r="T62" i="4"/>
  <c r="T55" i="4"/>
  <c r="S59" i="4"/>
  <c r="S61" i="4"/>
  <c r="S65" i="4"/>
  <c r="T70" i="4"/>
  <c r="T83" i="4"/>
  <c r="S91" i="4"/>
  <c r="S93" i="4"/>
  <c r="S95" i="4"/>
  <c r="S97" i="4"/>
  <c r="T98" i="4"/>
  <c r="T102" i="4"/>
  <c r="S106" i="4"/>
  <c r="S108" i="4"/>
  <c r="T109" i="4"/>
  <c r="T111" i="4"/>
  <c r="T113" i="4"/>
  <c r="T115" i="4"/>
  <c r="T117" i="4"/>
  <c r="T119" i="4"/>
  <c r="T121" i="4"/>
  <c r="T123" i="4"/>
  <c r="T125" i="4"/>
  <c r="T127" i="4"/>
  <c r="S55" i="4"/>
  <c r="S63" i="4"/>
  <c r="S71" i="4"/>
  <c r="S76" i="4"/>
  <c r="S78" i="4"/>
  <c r="S81" i="4"/>
  <c r="S84" i="4"/>
  <c r="S86" i="4"/>
  <c r="S94" i="4"/>
  <c r="S102" i="4"/>
  <c r="T129" i="4"/>
  <c r="T131" i="4"/>
  <c r="T133" i="4"/>
  <c r="T135" i="4"/>
  <c r="T137" i="4"/>
  <c r="T139" i="4"/>
  <c r="T141" i="4"/>
  <c r="T143" i="4"/>
  <c r="T145" i="4"/>
  <c r="T147" i="4"/>
  <c r="T149" i="4"/>
  <c r="T151" i="4"/>
  <c r="T153" i="4"/>
  <c r="T155" i="4"/>
  <c r="T157" i="4"/>
  <c r="T159" i="4"/>
  <c r="T161" i="4"/>
  <c r="T163" i="4"/>
  <c r="T165" i="4"/>
  <c r="T167" i="4"/>
  <c r="T169" i="4"/>
  <c r="T171" i="4"/>
  <c r="T173" i="4"/>
  <c r="T175" i="4"/>
  <c r="T177" i="4"/>
  <c r="T179" i="4"/>
  <c r="T181" i="4"/>
  <c r="T183" i="4"/>
  <c r="S5" i="4"/>
  <c r="S7" i="4"/>
  <c r="S9" i="4"/>
  <c r="S11" i="4"/>
  <c r="S13" i="4"/>
  <c r="S15" i="4"/>
  <c r="S17" i="4"/>
  <c r="S19" i="4"/>
  <c r="S21" i="4"/>
  <c r="S23" i="4"/>
  <c r="S26" i="4"/>
  <c r="S28" i="4"/>
  <c r="S30" i="4"/>
  <c r="S32" i="4"/>
  <c r="S34" i="4"/>
  <c r="S36" i="4"/>
  <c r="S39" i="4"/>
  <c r="S41" i="4"/>
  <c r="S43" i="4"/>
  <c r="S45" i="4"/>
  <c r="S49" i="4"/>
  <c r="T61" i="4"/>
  <c r="T65" i="4"/>
  <c r="T69" i="4"/>
  <c r="T73" i="4"/>
  <c r="S6" i="4"/>
  <c r="S8" i="4"/>
  <c r="S10" i="4"/>
  <c r="S12" i="4"/>
  <c r="S14" i="4"/>
  <c r="S16" i="4"/>
  <c r="S18" i="4"/>
  <c r="S20" i="4"/>
  <c r="S22" i="4"/>
  <c r="S24" i="4"/>
  <c r="S25" i="4"/>
  <c r="S27" i="4"/>
  <c r="S29" i="4"/>
  <c r="S31" i="4"/>
  <c r="S33" i="4"/>
  <c r="S35" i="4"/>
  <c r="S37" i="4"/>
  <c r="S38" i="4"/>
  <c r="S40" i="4"/>
  <c r="S42" i="4"/>
  <c r="S44" i="4"/>
  <c r="S46" i="4"/>
  <c r="S47" i="4"/>
  <c r="S48" i="4"/>
  <c r="S50" i="4"/>
  <c r="S51" i="4"/>
  <c r="S52" i="4"/>
  <c r="T53" i="4"/>
  <c r="T57" i="4"/>
  <c r="T77" i="4"/>
  <c r="T81" i="4"/>
  <c r="T85" i="4"/>
  <c r="T56" i="4"/>
  <c r="T60" i="4"/>
  <c r="T64" i="4"/>
  <c r="T68" i="4"/>
  <c r="T72" i="4"/>
  <c r="T76" i="4"/>
  <c r="T80" i="4"/>
  <c r="T84" i="4"/>
  <c r="T88" i="4"/>
  <c r="T92" i="4"/>
  <c r="T96" i="4"/>
  <c r="T100" i="4"/>
  <c r="T104" i="4"/>
  <c r="T75" i="4"/>
  <c r="T87" i="4"/>
  <c r="T91" i="4"/>
  <c r="T95" i="4"/>
  <c r="T99" i="4"/>
  <c r="T103" i="4"/>
  <c r="T107" i="4"/>
  <c r="S129" i="4"/>
  <c r="S131" i="4"/>
  <c r="S133" i="4"/>
  <c r="S135" i="4"/>
  <c r="S137" i="4"/>
  <c r="S139" i="4"/>
  <c r="S141" i="4"/>
  <c r="S143" i="4"/>
  <c r="S145" i="4"/>
  <c r="S147" i="4"/>
  <c r="S149" i="4"/>
  <c r="S151" i="4"/>
  <c r="S153" i="4"/>
  <c r="S155" i="4"/>
  <c r="S157" i="4"/>
  <c r="S159" i="4"/>
  <c r="S161" i="4"/>
  <c r="S163" i="4"/>
  <c r="S165" i="4"/>
  <c r="S167" i="4"/>
  <c r="S169" i="4"/>
  <c r="S171" i="4"/>
  <c r="S173" i="4"/>
  <c r="S175" i="4"/>
  <c r="S177" i="4"/>
  <c r="S179" i="4"/>
  <c r="S181" i="4"/>
  <c r="S183" i="4"/>
  <c r="T185" i="4"/>
  <c r="T187" i="4"/>
  <c r="T189" i="4"/>
  <c r="T191" i="4"/>
  <c r="T193" i="4"/>
  <c r="T195" i="4"/>
  <c r="T197" i="4"/>
  <c r="T199" i="4"/>
  <c r="T201" i="4"/>
  <c r="T203" i="4"/>
  <c r="T205" i="4"/>
  <c r="T207" i="4"/>
  <c r="T209" i="4"/>
  <c r="T211" i="4"/>
  <c r="T128" i="4"/>
  <c r="T130" i="4"/>
  <c r="T132" i="4"/>
  <c r="T134" i="4"/>
  <c r="T136" i="4"/>
  <c r="T138" i="4"/>
  <c r="T140" i="4"/>
  <c r="T142" i="4"/>
  <c r="T144" i="4"/>
  <c r="T146" i="4"/>
  <c r="T148" i="4"/>
  <c r="T150" i="4"/>
  <c r="T152" i="4"/>
  <c r="T154" i="4"/>
  <c r="T156" i="4"/>
  <c r="T158" i="4"/>
  <c r="T160" i="4"/>
  <c r="T162" i="4"/>
  <c r="T164" i="4"/>
  <c r="T166" i="4"/>
  <c r="T168" i="4"/>
  <c r="T170" i="4"/>
  <c r="T172" i="4"/>
  <c r="T174" i="4"/>
  <c r="T176" i="4"/>
  <c r="T178" i="4"/>
  <c r="T180" i="4"/>
  <c r="T182" i="4"/>
  <c r="T184" i="4"/>
  <c r="T186" i="4"/>
  <c r="T188" i="4"/>
  <c r="T190" i="4"/>
  <c r="T192" i="4"/>
  <c r="T194" i="4"/>
  <c r="T196" i="4"/>
  <c r="T198" i="4"/>
  <c r="T200" i="4"/>
  <c r="T202" i="4"/>
  <c r="T204" i="4"/>
  <c r="T206" i="4"/>
  <c r="T208" i="4"/>
  <c r="T210" i="4"/>
  <c r="R4" i="4" l="1"/>
  <c r="Q4" i="4" l="1"/>
  <c r="S4" i="4" l="1"/>
  <c r="T4" i="4"/>
</calcChain>
</file>

<file path=xl/sharedStrings.xml><?xml version="1.0" encoding="utf-8"?>
<sst xmlns="http://schemas.openxmlformats.org/spreadsheetml/2006/main" count="5958" uniqueCount="1771">
  <si>
    <t>200993P</t>
  </si>
  <si>
    <t>200994P</t>
  </si>
  <si>
    <t>201381</t>
  </si>
  <si>
    <t>201382</t>
  </si>
  <si>
    <t>201432P</t>
  </si>
  <si>
    <t>B3M77A-LP</t>
  </si>
  <si>
    <t>L0H24A-LP</t>
  </si>
  <si>
    <t>HP-L45091-001</t>
  </si>
  <si>
    <t>200552LPB</t>
  </si>
  <si>
    <t>200818P</t>
  </si>
  <si>
    <t>J8J87A-LP</t>
  </si>
  <si>
    <t>200950LP</t>
  </si>
  <si>
    <t>200952LP</t>
  </si>
  <si>
    <t>200951LP</t>
  </si>
  <si>
    <t>D008AK001</t>
  </si>
  <si>
    <t>J8J95A</t>
  </si>
  <si>
    <t>HP-741727-001B</t>
  </si>
  <si>
    <t>HP-N12500-001</t>
  </si>
  <si>
    <t>5D11A22491</t>
  </si>
  <si>
    <t>200941P</t>
  </si>
  <si>
    <t>200943P</t>
  </si>
  <si>
    <t>201384</t>
  </si>
  <si>
    <t>201385</t>
  </si>
  <si>
    <t>201386</t>
  </si>
  <si>
    <t>201387</t>
  </si>
  <si>
    <t>B5L37A</t>
  </si>
  <si>
    <t>LEX-40X9137</t>
  </si>
  <si>
    <t>LEX-41X1228</t>
  </si>
  <si>
    <t>HP-CQ890-67108</t>
  </si>
  <si>
    <t>HP-CH538-67071</t>
  </si>
  <si>
    <t>200949P</t>
  </si>
  <si>
    <t>200950P</t>
  </si>
  <si>
    <t>200951P</t>
  </si>
  <si>
    <t>200952P</t>
  </si>
  <si>
    <t>200942P</t>
  </si>
  <si>
    <t>200944P</t>
  </si>
  <si>
    <t>201173P</t>
  </si>
  <si>
    <t>201175P</t>
  </si>
  <si>
    <t>201174P</t>
  </si>
  <si>
    <t>201172P</t>
  </si>
  <si>
    <t>201050P</t>
  </si>
  <si>
    <t>B5L35A</t>
  </si>
  <si>
    <t>HP-M78958-161</t>
  </si>
  <si>
    <t>LEX-40X9101</t>
  </si>
  <si>
    <t>M78513-161</t>
  </si>
  <si>
    <t>N09824-001</t>
  </si>
  <si>
    <t>HP-N10777-161</t>
  </si>
  <si>
    <t>HP-RM2-1318-010</t>
  </si>
  <si>
    <t>M07130-161</t>
  </si>
  <si>
    <t>HP-Y1G00-67902</t>
  </si>
  <si>
    <t>HP-M21370-001</t>
  </si>
  <si>
    <t>200778P</t>
  </si>
  <si>
    <t>300201LP</t>
  </si>
  <si>
    <t>L2718A</t>
  </si>
  <si>
    <t>6545621123</t>
  </si>
  <si>
    <t>B3M77A</t>
  </si>
  <si>
    <t>LEX-41X1178B</t>
  </si>
  <si>
    <t>201319P</t>
  </si>
  <si>
    <t>201383P</t>
  </si>
  <si>
    <t>HP-RM2-2585-BK</t>
  </si>
  <si>
    <t>MUESTRA FEDEX</t>
  </si>
  <si>
    <t>F2G76-67901-LP</t>
  </si>
  <si>
    <t>201316P</t>
  </si>
  <si>
    <t>P1B93A</t>
  </si>
  <si>
    <t>LEX-40X9135</t>
  </si>
  <si>
    <t>LEX-41X2233</t>
  </si>
  <si>
    <t>201315P</t>
  </si>
  <si>
    <t>201317P</t>
  </si>
  <si>
    <t>J8J87A</t>
  </si>
  <si>
    <t>HP-RM2-6460-BK</t>
  </si>
  <si>
    <t>200778LPB</t>
  </si>
  <si>
    <t>201188PLA</t>
  </si>
  <si>
    <t>LEX-41X1225</t>
  </si>
  <si>
    <t>201314P</t>
  </si>
  <si>
    <t>RM2-5679-LP</t>
  </si>
  <si>
    <t>HP-L0H24A</t>
  </si>
  <si>
    <t>HP-JC91-01176A</t>
  </si>
  <si>
    <t>200628LP</t>
  </si>
  <si>
    <t>LEX-40X9097</t>
  </si>
  <si>
    <t>200997</t>
  </si>
  <si>
    <t>201304</t>
  </si>
  <si>
    <t>200490P</t>
  </si>
  <si>
    <t>200173LP</t>
  </si>
  <si>
    <t>201087P</t>
  </si>
  <si>
    <t>201088P</t>
  </si>
  <si>
    <t>201089P</t>
  </si>
  <si>
    <t>LEX-40X8420B</t>
  </si>
  <si>
    <t>201086P</t>
  </si>
  <si>
    <t>200554LP</t>
  </si>
  <si>
    <t>200892LPB</t>
  </si>
  <si>
    <t>HP-L78091-001</t>
  </si>
  <si>
    <t>Etiquetas de fila</t>
  </si>
  <si>
    <t>Total general</t>
  </si>
  <si>
    <t>Suma de Stock disponible</t>
  </si>
  <si>
    <t>Product Code</t>
  </si>
  <si>
    <t>Product Description</t>
  </si>
  <si>
    <t>Total Stock</t>
  </si>
  <si>
    <t>Yellow Cartridge for HP W9062MC</t>
  </si>
  <si>
    <t>FUSOR HP 110V - MFP M577/M578/M552/M553</t>
  </si>
  <si>
    <t>H.P LJ Pro501/Enterprise M506/MFP M527 F</t>
  </si>
  <si>
    <t>KIT DE MANTENIMIENTO MS81x/MX71x/MX81x -</t>
  </si>
  <si>
    <t>Magenta Toner Cartridge for HP W9063MC</t>
  </si>
  <si>
    <t>TONER NEGRO CF390X HP M602 24K</t>
  </si>
  <si>
    <t>TONER NEGRO 50F4X00 LEX MS410-10K</t>
  </si>
  <si>
    <t>HP M401-CF280X TONER NEGRO 6.5K</t>
  </si>
  <si>
    <t>TONER NEGRO CE505A HP P2035/2055 - 2.7K</t>
  </si>
  <si>
    <t>TONER CARTRIDGE (EXTENDED YIELD)  M605DN</t>
  </si>
  <si>
    <t>HP Color LaserJet Enterprise M553DN, M55</t>
  </si>
  <si>
    <t>TONER CARTRIDGE MICR. MS317</t>
  </si>
  <si>
    <t>Black Toner Cartridge for HP W9060MC</t>
  </si>
  <si>
    <t>Cyan Toner Cartridge for HP W9061MC</t>
  </si>
  <si>
    <t>MS710 TON LEX BL30K</t>
  </si>
  <si>
    <t>CARTUCHO DE TONER NEGRO LEXMARK BSD M315</t>
  </si>
  <si>
    <t>CF230X, TONER CARTRIDGE (HIGH YIELD) M203DW</t>
  </si>
  <si>
    <t>High Yield Yellow Toner Cartridge for HP 202X (CF502X)</t>
  </si>
  <si>
    <t>High Yield Magenta Toner Cartridge for HP 202X (CF503X)</t>
  </si>
  <si>
    <t>High Yield Cyan Toner Cartridge for HP 202X (CF501X)</t>
  </si>
  <si>
    <t>xx</t>
  </si>
  <si>
    <t>sss</t>
  </si>
  <si>
    <t>IMC</t>
  </si>
  <si>
    <t xml:space="preserve">LATIN </t>
  </si>
  <si>
    <t>LATIN</t>
  </si>
  <si>
    <t>OBSERVACIÓN</t>
  </si>
  <si>
    <t>VS</t>
  </si>
  <si>
    <t>NOVEDAD</t>
  </si>
  <si>
    <t xml:space="preserve">DIFERENCIA </t>
  </si>
  <si>
    <t>ESTADO</t>
  </si>
  <si>
    <t>HP-JC90-01032A</t>
  </si>
  <si>
    <t>CASSETTE-ROLLER RETARD;ML-3710,SEE</t>
  </si>
  <si>
    <t>Fuser Assembly 110VBrother DCP-L5500DN/5650DN/HL-L5000D/6400DWT/MFC-L5700DW/6900DW/ Konica Minolta</t>
  </si>
  <si>
    <t>LEX-41X5655</t>
  </si>
  <si>
    <t>CS96x SVC Maint Kit, Fuser CS/CX96x 110-120V. Type 00</t>
  </si>
  <si>
    <t>LEX-41X5000</t>
  </si>
  <si>
    <t>CX63x SVC Maint Kit, Fuser 110V Fuser</t>
  </si>
  <si>
    <t>201181LP</t>
  </si>
  <si>
    <t>TONER NEGRO CF237X HP M631/632/633 -25K</t>
  </si>
  <si>
    <t xml:space="preserve">REFERENCIA </t>
  </si>
  <si>
    <t>1</t>
  </si>
  <si>
    <t>2</t>
  </si>
  <si>
    <t>8</t>
  </si>
  <si>
    <t>3</t>
  </si>
  <si>
    <t>6</t>
  </si>
  <si>
    <t>4</t>
  </si>
  <si>
    <t>B3M77A-LPC</t>
  </si>
  <si>
    <t>HP LASERJET 110V MAINTENANCE KIT-</t>
  </si>
  <si>
    <t>7</t>
  </si>
  <si>
    <t>5</t>
  </si>
  <si>
    <t>30</t>
  </si>
  <si>
    <t>14</t>
  </si>
  <si>
    <t>10</t>
  </si>
  <si>
    <t>15</t>
  </si>
  <si>
    <t>On SO</t>
  </si>
  <si>
    <t>Avaliable Qty</t>
  </si>
  <si>
    <t>On PO</t>
  </si>
  <si>
    <t>On DO</t>
  </si>
  <si>
    <t>UOM</t>
  </si>
  <si>
    <t>Avg Cost</t>
  </si>
  <si>
    <t>Last Landed Cost</t>
  </si>
  <si>
    <t>Total Cost</t>
  </si>
  <si>
    <t>0</t>
  </si>
  <si>
    <t>EA</t>
  </si>
  <si>
    <t>-1</t>
  </si>
  <si>
    <t>CE246A</t>
  </si>
  <si>
    <t>Fuser assembly -- Ver -CC493-67911</t>
  </si>
  <si>
    <t>23</t>
  </si>
  <si>
    <t>20</t>
  </si>
  <si>
    <t>MS521/MX52x FUSER MAINTENANCE Kit, 110V</t>
  </si>
  <si>
    <t>HP-RM2-5712-000</t>
  </si>
  <si>
    <t>ID</t>
  </si>
  <si>
    <t>Transaction Date</t>
  </si>
  <si>
    <t>Transaction</t>
  </si>
  <si>
    <t>Quantity (Stock UOM)</t>
  </si>
  <si>
    <t>Quantity</t>
  </si>
  <si>
    <t>Selling Price</t>
  </si>
  <si>
    <t>Sell Amount</t>
  </si>
  <si>
    <t>Cost</t>
  </si>
  <si>
    <t>Cost Amount</t>
  </si>
  <si>
    <t>Stock Balance</t>
  </si>
  <si>
    <t>Average Cost</t>
  </si>
  <si>
    <t>Template</t>
  </si>
  <si>
    <t>Description</t>
  </si>
  <si>
    <t>5/16/2025</t>
  </si>
  <si>
    <t>SI-1049705</t>
  </si>
  <si>
    <t>-1.00</t>
  </si>
  <si>
    <t>1,051,157.00</t>
  </si>
  <si>
    <t>(Col$1,051,157.00)</t>
  </si>
  <si>
    <t>856,836.86</t>
  </si>
  <si>
    <t>-856,836.86</t>
  </si>
  <si>
    <t>23,933,586.59</t>
  </si>
  <si>
    <t>854,770.95</t>
  </si>
  <si>
    <t>28.00</t>
  </si>
  <si>
    <t>Sales Invoice</t>
  </si>
  <si>
    <t>SALES</t>
  </si>
  <si>
    <t>SI-1049701</t>
  </si>
  <si>
    <t>-3.00</t>
  </si>
  <si>
    <t>1,049,165.00</t>
  </si>
  <si>
    <t>(Col$3,147,495.00)</t>
  </si>
  <si>
    <t>886,901.32</t>
  </si>
  <si>
    <t>-2,660,703.95</t>
  </si>
  <si>
    <t>24,790,423.45</t>
  </si>
  <si>
    <t>854,842.19</t>
  </si>
  <si>
    <t>29.00</t>
  </si>
  <si>
    <t>5/15/2025</t>
  </si>
  <si>
    <t>SI-1049691</t>
  </si>
  <si>
    <t>-10.00</t>
  </si>
  <si>
    <t>977,244.00</t>
  </si>
  <si>
    <t>(Col$9,772,440.00)</t>
  </si>
  <si>
    <t>853,221.52</t>
  </si>
  <si>
    <t>-8,532,215.20</t>
  </si>
  <si>
    <t>27,451,127.40</t>
  </si>
  <si>
    <t>857,847.73</t>
  </si>
  <si>
    <t>32.00</t>
  </si>
  <si>
    <t>5/13/2025</t>
  </si>
  <si>
    <t>PI-117126</t>
  </si>
  <si>
    <t>7.00</t>
  </si>
  <si>
    <t>0.00</t>
  </si>
  <si>
    <t>Col$0.00</t>
  </si>
  <si>
    <t>5,972,550.64</t>
  </si>
  <si>
    <t>35,983,342.60</t>
  </si>
  <si>
    <t>856,746.25</t>
  </si>
  <si>
    <t>42.00</t>
  </si>
  <si>
    <t>Purchase Invoice</t>
  </si>
  <si>
    <t>PURCHASES</t>
  </si>
  <si>
    <t>SI-1049637</t>
  </si>
  <si>
    <t>-6.00</t>
  </si>
  <si>
    <t>982,934.00</t>
  </si>
  <si>
    <t>(Col$5,897,604.00)</t>
  </si>
  <si>
    <t>-5,119,329.12</t>
  </si>
  <si>
    <t>30,010,791.96</t>
  </si>
  <si>
    <t>857,451.20</t>
  </si>
  <si>
    <t>35.00</t>
  </si>
  <si>
    <t>SI-1049628</t>
  </si>
  <si>
    <t>1,070,905.00</t>
  </si>
  <si>
    <t>(Col$1,070,905.00)</t>
  </si>
  <si>
    <t>-886,901.32</t>
  </si>
  <si>
    <t>35,130,121.08</t>
  </si>
  <si>
    <t>856,832.22</t>
  </si>
  <si>
    <t>41.00</t>
  </si>
  <si>
    <t>4/30/2025</t>
  </si>
  <si>
    <t>SI-1049597</t>
  </si>
  <si>
    <t>-2.00</t>
  </si>
  <si>
    <t>998,791.00</t>
  </si>
  <si>
    <t>(Col$1,997,582.00)</t>
  </si>
  <si>
    <t>842,556.25</t>
  </si>
  <si>
    <t>-1,685,112.50</t>
  </si>
  <si>
    <t>36,017,022.40</t>
  </si>
  <si>
    <t>857,548.15</t>
  </si>
  <si>
    <t>CN-104059</t>
  </si>
  <si>
    <t>2.00</t>
  </si>
  <si>
    <t>1,685,112.50</t>
  </si>
  <si>
    <t>37,702,134.90</t>
  </si>
  <si>
    <t>856,866.70</t>
  </si>
  <si>
    <t>44.00</t>
  </si>
  <si>
    <t>Credit Note</t>
  </si>
  <si>
    <t>CUSTOMER RETURNS</t>
  </si>
  <si>
    <t>SI-1049596</t>
  </si>
  <si>
    <t>1,049,707.00</t>
  </si>
  <si>
    <t>(Col$1,049,707.00)</t>
  </si>
  <si>
    <t>4/29/2025</t>
  </si>
  <si>
    <t>PI-117073</t>
  </si>
  <si>
    <t>25.00</t>
  </si>
  <si>
    <t>21,330,537.98</t>
  </si>
  <si>
    <t>36,903,923.72</t>
  </si>
  <si>
    <t>858,230.78</t>
  </si>
  <si>
    <t>43.00</t>
  </si>
  <si>
    <t>SI-1049580</t>
  </si>
  <si>
    <t>-25.00</t>
  </si>
  <si>
    <t>1,141,376.00</t>
  </si>
  <si>
    <t>(Col$28,534,400.00)</t>
  </si>
  <si>
    <t>838,839.41</t>
  </si>
  <si>
    <t>-20,970,985.26</t>
  </si>
  <si>
    <t>15,573,385.74</t>
  </si>
  <si>
    <t>865,188.10</t>
  </si>
  <si>
    <t>18.00</t>
  </si>
  <si>
    <t>4/28/2025</t>
  </si>
  <si>
    <t>PI-117069</t>
  </si>
  <si>
    <t>13.00</t>
  </si>
  <si>
    <t>11,138,879.23</t>
  </si>
  <si>
    <t>36,544,371.00</t>
  </si>
  <si>
    <t>849,869.09</t>
  </si>
  <si>
    <t>4/24/2025</t>
  </si>
  <si>
    <t>SI-1049547</t>
  </si>
  <si>
    <t>1,074,578.00</t>
  </si>
  <si>
    <t>(Col$3,223,734.00)</t>
  </si>
  <si>
    <t>25,405,491.77</t>
  </si>
  <si>
    <t>846,849.73</t>
  </si>
  <si>
    <t>30.00</t>
  </si>
  <si>
    <t>4/16/2025</t>
  </si>
  <si>
    <t>SI-1049534</t>
  </si>
  <si>
    <t>1,082,475.00</t>
  </si>
  <si>
    <t>(Col$6,494,850.00)</t>
  </si>
  <si>
    <t>-5,321,407.89</t>
  </si>
  <si>
    <t>28,066,195.72</t>
  </si>
  <si>
    <t>850,490.78</t>
  </si>
  <si>
    <t>33.00</t>
  </si>
  <si>
    <t>4/15/2025</t>
  </si>
  <si>
    <t>SI-1049527</t>
  </si>
  <si>
    <t>1,071,575.00</t>
  </si>
  <si>
    <t>(Col$1,071,575.00)</t>
  </si>
  <si>
    <t>33,387,603.61</t>
  </si>
  <si>
    <t>856,092.40</t>
  </si>
  <si>
    <t>39.00</t>
  </si>
  <si>
    <t>4/14/2025</t>
  </si>
  <si>
    <t>SI-1049524</t>
  </si>
  <si>
    <t>1,077,359.00</t>
  </si>
  <si>
    <t>(Col$1,077,359.00)</t>
  </si>
  <si>
    <t>34,274,504.93</t>
  </si>
  <si>
    <t>856,862.62</t>
  </si>
  <si>
    <t>40.00</t>
  </si>
  <si>
    <t>SI-1049516</t>
  </si>
  <si>
    <t>1,087,888.00</t>
  </si>
  <si>
    <t>(Col$1,087,888.00)</t>
  </si>
  <si>
    <t>35,161,406.25</t>
  </si>
  <si>
    <t>857,595.27</t>
  </si>
  <si>
    <t>SI-1049510</t>
  </si>
  <si>
    <t>1,104,172.00</t>
  </si>
  <si>
    <t>(Col$6,625,032.00)</t>
  </si>
  <si>
    <t>880,098.03</t>
  </si>
  <si>
    <t>-5,280,588.17</t>
  </si>
  <si>
    <t>36,048,307.57</t>
  </si>
  <si>
    <t>858,293.04</t>
  </si>
  <si>
    <t>PI-117017</t>
  </si>
  <si>
    <t>22.00</t>
  </si>
  <si>
    <t>19,511,828.94</t>
  </si>
  <si>
    <t>41,328,895.74</t>
  </si>
  <si>
    <t>861,018.66</t>
  </si>
  <si>
    <t>48.00</t>
  </si>
  <si>
    <t>SI-1049452</t>
  </si>
  <si>
    <t>-4.00</t>
  </si>
  <si>
    <t>958,162.00</t>
  </si>
  <si>
    <t>(Col$3,832,648.00)</t>
  </si>
  <si>
    <t>837,355.29</t>
  </si>
  <si>
    <t>-3,349,421.14</t>
  </si>
  <si>
    <t>21,817,066.80</t>
  </si>
  <si>
    <t>839,117.95</t>
  </si>
  <si>
    <t>26.00</t>
  </si>
  <si>
    <t>SI-1049441</t>
  </si>
  <si>
    <t>1,032,503.00</t>
  </si>
  <si>
    <t>(Col$3,097,509.00)</t>
  </si>
  <si>
    <t>-2,527,668.75</t>
  </si>
  <si>
    <t>25,166,487.94</t>
  </si>
  <si>
    <t>838,882.93</t>
  </si>
  <si>
    <t>SI-1049440</t>
  </si>
  <si>
    <t>(Col$2,065,006.00)</t>
  </si>
  <si>
    <t>27,694,156.69</t>
  </si>
  <si>
    <t>839,216.87</t>
  </si>
  <si>
    <t>SI-1049419</t>
  </si>
  <si>
    <t>1,047,948.00</t>
  </si>
  <si>
    <t>(Col$1,047,948.00)</t>
  </si>
  <si>
    <t>-842,556.25</t>
  </si>
  <si>
    <t>29,379,269.19</t>
  </si>
  <si>
    <t>839,407.69</t>
  </si>
  <si>
    <t>Suma de Cantidad</t>
  </si>
  <si>
    <t>LATIN PARTS COLOMBIA S.A.S.</t>
  </si>
  <si>
    <t>Product  : All                                                                   Total Cost based on   Average Cost</t>
  </si>
  <si>
    <t>Stock Summary Report</t>
  </si>
  <si>
    <t>REAR DOOR ASSEMBLY - FOR THE SIMPLEX MOD</t>
  </si>
  <si>
    <t>9</t>
  </si>
  <si>
    <t>N09213-001</t>
  </si>
  <si>
    <t>SPS-STAND HAS 27 870G9 AIO</t>
  </si>
  <si>
    <t>24</t>
  </si>
  <si>
    <t>HP LASERJET PRO MFP M521DN, M521DW, M521</t>
  </si>
  <si>
    <t>25</t>
  </si>
  <si>
    <t>M21155-001</t>
  </si>
  <si>
    <t>HP-RM2-2554-000</t>
  </si>
  <si>
    <t>FUSER ASSEMBLY 110 V</t>
  </si>
  <si>
    <t>SPS-LCD BACK COVER</t>
  </si>
  <si>
    <t>L2714-30001</t>
  </si>
  <si>
    <t>ADF cleaning cloth kit - Kit roll needed</t>
  </si>
  <si>
    <t>12</t>
  </si>
  <si>
    <t>LEXMARK MS510DN, MS610DE,MS610DN LA CHIP</t>
  </si>
  <si>
    <t>HP-M05457-001</t>
  </si>
  <si>
    <t>HP-M05460-161</t>
  </si>
  <si>
    <t>200180LP</t>
  </si>
  <si>
    <t>M21382-001</t>
  </si>
  <si>
    <t>ASSY-FIXING</t>
  </si>
  <si>
    <t>SPS-BASE ENCLOSURE DAS New</t>
  </si>
  <si>
    <t>SPS-TOP COVER DAS MSKT W/KB JTB LTNA</t>
  </si>
  <si>
    <t>SPS-45W ADPTR NPFC SMART RC 4.5mm NSLIM</t>
  </si>
  <si>
    <t>SPS-LCD BACK COVER WLAN 250N</t>
  </si>
  <si>
    <t>M23367-161</t>
  </si>
  <si>
    <t>SPS-TOPCOVER W/KB JTB ISK STD TP LTNA</t>
  </si>
  <si>
    <t>TONER NEGRO CE255X HP P3010 -12.5K</t>
  </si>
  <si>
    <t>309008LP</t>
  </si>
  <si>
    <t>HP-JC98-05425A</t>
  </si>
  <si>
    <t>5PN82A</t>
  </si>
  <si>
    <t>HP-N00350-001</t>
  </si>
  <si>
    <t>001716C-LP</t>
  </si>
  <si>
    <t>HP-L65224-161</t>
  </si>
  <si>
    <t>HP-N43565-001</t>
  </si>
  <si>
    <t>5PN74A</t>
  </si>
  <si>
    <t>LEX-41X1325</t>
  </si>
  <si>
    <t>005266C-LP</t>
  </si>
  <si>
    <t>LEX-41X4453</t>
  </si>
  <si>
    <t>005236C-LP</t>
  </si>
  <si>
    <t>006182C-LP</t>
  </si>
  <si>
    <t>002705C-LP</t>
  </si>
  <si>
    <t>004915C-LP</t>
  </si>
  <si>
    <t>001803C-LP</t>
  </si>
  <si>
    <t>004322C-LP</t>
  </si>
  <si>
    <t>005262C-LP</t>
  </si>
  <si>
    <t>005267C-LP</t>
  </si>
  <si>
    <t>006053C-LP</t>
  </si>
  <si>
    <t>003061C-LP</t>
  </si>
  <si>
    <t>003062C-LP</t>
  </si>
  <si>
    <t>003063C-LP</t>
  </si>
  <si>
    <t>003064C-LP</t>
  </si>
  <si>
    <t>003065C-LP</t>
  </si>
  <si>
    <t>003066C-LP</t>
  </si>
  <si>
    <t>003067C-LP</t>
  </si>
  <si>
    <t>003069C-LP</t>
  </si>
  <si>
    <t>003070C-LP</t>
  </si>
  <si>
    <t>003072C-LP</t>
  </si>
  <si>
    <t>003073C-LP</t>
  </si>
  <si>
    <t>003074C-LP</t>
  </si>
  <si>
    <t>003075C-LP</t>
  </si>
  <si>
    <t>003076C-LP</t>
  </si>
  <si>
    <t>003079C-LP</t>
  </si>
  <si>
    <t>003080C-LP</t>
  </si>
  <si>
    <t>003081C-LP</t>
  </si>
  <si>
    <t>003082C-LP</t>
  </si>
  <si>
    <t>003084C-LP</t>
  </si>
  <si>
    <t>003826C-LP</t>
  </si>
  <si>
    <t>006139C-LP</t>
  </si>
  <si>
    <t>003244C-LP</t>
  </si>
  <si>
    <t>001007C-LP</t>
  </si>
  <si>
    <t>001010C-LP</t>
  </si>
  <si>
    <t>003191C-LP</t>
  </si>
  <si>
    <t>003690C-LP</t>
  </si>
  <si>
    <t>003790C-LP</t>
  </si>
  <si>
    <t>004178C-LP</t>
  </si>
  <si>
    <t>005301C-LP</t>
  </si>
  <si>
    <t>005672C-LP</t>
  </si>
  <si>
    <t>001866C-LP</t>
  </si>
  <si>
    <t>001885C-LP</t>
  </si>
  <si>
    <t>002692C-LP</t>
  </si>
  <si>
    <t>003470C-LP</t>
  </si>
  <si>
    <t>003811C-LP</t>
  </si>
  <si>
    <t>002703C-LP</t>
  </si>
  <si>
    <t>002762C-LP</t>
  </si>
  <si>
    <t>004098C-LP</t>
  </si>
  <si>
    <t>006073C-LP</t>
  </si>
  <si>
    <t>006105C-LP</t>
  </si>
  <si>
    <t>006133C-LP</t>
  </si>
  <si>
    <t>006153C-LP</t>
  </si>
  <si>
    <t>006200C-LP</t>
  </si>
  <si>
    <t>002051C-LP</t>
  </si>
  <si>
    <t>003813C-LP</t>
  </si>
  <si>
    <t>005244C-LP</t>
  </si>
  <si>
    <t>005300C-LP</t>
  </si>
  <si>
    <t>002139C-LP</t>
  </si>
  <si>
    <t>002216C-LP</t>
  </si>
  <si>
    <t>002797C-LP</t>
  </si>
  <si>
    <t>002691C-LP</t>
  </si>
  <si>
    <t>001869C-LP</t>
  </si>
  <si>
    <t>002540C-LP</t>
  </si>
  <si>
    <t>005500C-LP</t>
  </si>
  <si>
    <t>002815C-LP</t>
  </si>
  <si>
    <t>200897LPB</t>
  </si>
  <si>
    <t>201582LP</t>
  </si>
  <si>
    <t>001505C-LP</t>
  </si>
  <si>
    <t>002314C-LP</t>
  </si>
  <si>
    <t>002704C-LP</t>
  </si>
  <si>
    <t>003800C-LP</t>
  </si>
  <si>
    <t>007070C-LP</t>
  </si>
  <si>
    <t>002693C-LP</t>
  </si>
  <si>
    <t>005964C-LP</t>
  </si>
  <si>
    <t>005243C-LP</t>
  </si>
  <si>
    <t>200949LP</t>
  </si>
  <si>
    <t>001873C-LP</t>
  </si>
  <si>
    <t>005324C-LP</t>
  </si>
  <si>
    <t>003276C-LP</t>
  </si>
  <si>
    <t>002785C-LP</t>
  </si>
  <si>
    <t>002121C-LP</t>
  </si>
  <si>
    <t>L2718A-LP</t>
  </si>
  <si>
    <t>TONER NEGRO HP LJ E625557/E62665/E62565- 40K- W9004MC</t>
  </si>
  <si>
    <t>11</t>
  </si>
  <si>
    <t>DEVELOPER UNIT - LASER - BLACK (5PN82A)</t>
  </si>
  <si>
    <t>TONER NEGRO HPLJ E50145/E52645- 19.5K - W9008MC</t>
  </si>
  <si>
    <t>TONER CARTRIGE YIELD  M608N, M608DN, M6</t>
  </si>
  <si>
    <t>22</t>
  </si>
  <si>
    <t>TONER AMARILLO CF412X HP M452 - 5K</t>
  </si>
  <si>
    <t>TONER MAGENTA CF413X HP M452 - 5K</t>
  </si>
  <si>
    <t>SVC Rollers DADF separator</t>
  </si>
  <si>
    <t>MEDIA SENSOR FLAG - REEMP 40X8800</t>
  </si>
  <si>
    <t>TAPE KIT LCD 14</t>
  </si>
  <si>
    <t>RAW PANEL 14FHD AG UWVA250</t>
  </si>
  <si>
    <t>16</t>
  </si>
  <si>
    <t>SKD-TRANSFER ITB;X7600</t>
  </si>
  <si>
    <t>SPS-TOP COVER W/KB CP BL CHILE</t>
  </si>
  <si>
    <t>18</t>
  </si>
  <si>
    <t>ADF roller replacement kit - L2725-60002</t>
  </si>
  <si>
    <t>RAM SO-DIMM DDR4 PC4-25600 32GB 3200MHZ CL22 1.2V LAPTOP</t>
  </si>
  <si>
    <t>RAM SO-DIMM DDR3L PC12800 8GB 1600MHZ CL11 1.5/1.35V 16C LAPTOP</t>
  </si>
  <si>
    <t>SSD 2.5 120GB SATA 540 MB/S</t>
  </si>
  <si>
    <t>RAM SO-DIMM DDR5 PC5-44800 8GB 5600MHZ CL46 1.1V LAPTOP</t>
  </si>
  <si>
    <t>RAM SO-DIMM DDR4 PC4-25600 8GB 3200MHZ CL22 1.2V LAPTOP</t>
  </si>
  <si>
    <t>RAM DIMM PC DDR4 PC4-25600 8GB 3200MHZ CL22 1.2V DESKTOP</t>
  </si>
  <si>
    <t>RAM DIMM PC DDR4 PC4-25600 16GB 3200MHZ CL22 1.2V DESKTOP</t>
  </si>
  <si>
    <t>RAM DIMM PC DDR3L PC12800 8GB 1600MHZ CL11 1.5V/1.35V 16C DESKTOP</t>
  </si>
  <si>
    <t>RAM DIMM PC DDR5 PC5-44800 32GB 5600MHZ CL46 1.1V DESKTOP</t>
  </si>
  <si>
    <t>RAM DIMM PC DDR5 PC5-44800 16GB 5600MHZ CL46 1.1V DESKTOP</t>
  </si>
  <si>
    <t>RAM DIMM PC DDR5 PC5-38400 16GB 4800MHZ CL40 1.1V DESKTOP</t>
  </si>
  <si>
    <t>SSD PCI-E 4.0 M.2 2280 2TB NVME</t>
  </si>
  <si>
    <t>SSD PCI-E 3.0 M.2 2280 256GB NVME</t>
  </si>
  <si>
    <t>CARGADOR PARA PORTATIL HP 19.5V 7.7A PUNTA AZUL 150W</t>
  </si>
  <si>
    <t>PANTALLA PARA PORTATIL 13.3 PULGADAS CONECTOR SUPERIOR</t>
  </si>
  <si>
    <t>SSD 2.5 256GB SATA  550 MB/S</t>
  </si>
  <si>
    <t>SSD 2.5 240GB SATA  550 MB/S</t>
  </si>
  <si>
    <t>SSD 2.5 1TB SATA  540 MB/S</t>
  </si>
  <si>
    <t>SSD 2.5 512GB SATA 550MB/S</t>
  </si>
  <si>
    <t>SSD 2.5 480GB SATA  550 MB/S</t>
  </si>
  <si>
    <t>SSD 2.5 2TB SATA 545MB/S</t>
  </si>
  <si>
    <t>TECLADO PARA PORTATIL LENOVO THINKPAD E480</t>
  </si>
  <si>
    <t>BATERIA PARA P ORTATIL DELL E5450 RYXXH</t>
  </si>
  <si>
    <t>BATERIA OEM PARA HP VI04</t>
  </si>
  <si>
    <t>BATERIA OEM PARA HP PROBOOK 440</t>
  </si>
  <si>
    <t>PANTALLA 15.6  SLIM 30PIN CON GUIAS</t>
  </si>
  <si>
    <t>CARGADOR PARA HP 19.5V 3.33A AG. SLIM</t>
  </si>
  <si>
    <t>50</t>
  </si>
  <si>
    <t>CARGADOR PARA LENOVO 20V 3.25A YOGA</t>
  </si>
  <si>
    <t>CARGADOR PARA DELL 19V 3.34A</t>
  </si>
  <si>
    <t>PANTALLA PARA PORTATIL 14.0 PULGADAS SLIM</t>
  </si>
  <si>
    <t>PANTALLA PARA PORTATIL 12.5 PULGADAS SLIM GUIA LATERAL</t>
  </si>
  <si>
    <t>BATERIA OEM PARA DELL E6420</t>
  </si>
  <si>
    <t>CARGADOR PARA LENOVO 100 20V 2.25A</t>
  </si>
  <si>
    <t>PANTALLA 14.0 SLIM 30PIN</t>
  </si>
  <si>
    <t>BATERIA OEM PARA HP RO04</t>
  </si>
  <si>
    <t>BATERIA DELL E5450 LARGA DURACION</t>
  </si>
  <si>
    <t>TECLADO PARA PORTATIL HP 440 G3</t>
  </si>
  <si>
    <t>PANTALLA 14.0 SLIM IPS 30 PINES CON GUIAS</t>
  </si>
  <si>
    <t>BATERIA OEM PARA HP 640 G2 CI03XL</t>
  </si>
  <si>
    <t>TECLADO PARA PORTATIL HP PROBOOK 430 G5</t>
  </si>
  <si>
    <t>BATERIA OEM PARA HP ELITEBOOK 840 G1</t>
  </si>
  <si>
    <t>CARGADOR PARA DELL 19V 3.34A NEW MODEL</t>
  </si>
  <si>
    <t>PANTALLA 14.0 SLIM 30PIN 1920 X 1080 FULL HD</t>
  </si>
  <si>
    <t>BATERIA OEM PARA HP JC04</t>
  </si>
  <si>
    <t>BATERIA PARA DELL E7270 A7470</t>
  </si>
  <si>
    <t>BATERIA OEM PARA DELL 14-5447 15 5547</t>
  </si>
  <si>
    <t>CARGADOR PARA DELL USB C 65W SLIM</t>
  </si>
  <si>
    <t>BATERIA OEM PARA DELL LATITUDE 5400 5401 R8D7N</t>
  </si>
  <si>
    <t>TECLADO PARA PORTATIL HP PROBOOK 440 G9 RETROILUMINADO</t>
  </si>
  <si>
    <t>TECLADO PARA PORTATIL HP 840 G7 / 845 G8 RETROILUMINADO</t>
  </si>
  <si>
    <t>TECLADO PARA PORTATIL HP PROBOOK 440 G8</t>
  </si>
  <si>
    <t>TECLADO PARA PORTATIL HP 440 G6</t>
  </si>
  <si>
    <t>TECLADO PARA PORTATIL DELL LATITUDE 3320 3420 VOSTRO 5310 5320 5410 5418 5420 7415</t>
  </si>
  <si>
    <t>TECLADO PARA PORTATIL HP PROBOOK 450 G8</t>
  </si>
  <si>
    <t>TECLADO PARA PORTATIL DELL LATITUDE L5420 RETROILUMINADO</t>
  </si>
  <si>
    <t>CF287X BLACK TONER 18K</t>
  </si>
  <si>
    <t>TONER CYAN CF411X HP M452 - 5K</t>
  </si>
  <si>
    <t>TONER NEGRO CF410X HPM452 - 6.5K</t>
  </si>
  <si>
    <t>19</t>
  </si>
  <si>
    <t>CF281X BLACK TONER 25K</t>
  </si>
  <si>
    <t>TECLADO PARA PORTATIL LENOVO X280</t>
  </si>
  <si>
    <t>PANTALLA PARA PORTATIL 13.3 PULGADAS SLIM 30 PINES</t>
  </si>
  <si>
    <t>TECLADO PARA PORTATIL HP 440 G1 430 G2 CON MALLA</t>
  </si>
  <si>
    <t>BATERIA PARA PORTATIL LENOVO L18M3P73</t>
  </si>
  <si>
    <t>BATERIA OEM PARA DELL E5480 LARGA DURACION</t>
  </si>
  <si>
    <t>BATERIA PARA PORTATIL HP  X360 13U-M3U-14AX ON03XL-BI03X</t>
  </si>
  <si>
    <t>TECLADO PARA PORTATIL LENOVO X240</t>
  </si>
  <si>
    <t>PANTALLA PARA PORTATIL 16.0 PULGADAS SLIM 40 PIN 160HZ NE160WUM-NX1</t>
  </si>
  <si>
    <t>PANTALLA PARA PORTATIL 14.0 PULGADAS SLIM IPS 30 PINES CONECTOR SUPERIOR LENOVO T14</t>
  </si>
  <si>
    <t>BATERIA FOLLOW ME PARA DELL INSPIRON 5310 G91J0</t>
  </si>
  <si>
    <t>BATERIA PARA PORTATIL LENOVO THINKPAD S2 YOGA 2018 - L380 L390 L17L3P53</t>
  </si>
  <si>
    <t>BATERIA PARA PORTATIL DELL 14 5420 5520 RJ40G TIPO A</t>
  </si>
  <si>
    <t>BATERIA PARA PORTATIL DELL LATITUDE 5320 7320 7420 7FMXV</t>
  </si>
  <si>
    <t>TECLADO PARA PORTATIL HP 14 CD DA</t>
  </si>
  <si>
    <t>CARGADOR PARA LENOVO 20 3.25 TIPO C</t>
  </si>
  <si>
    <t>PANTALLA PARA PORTATIL 15.6 PULGADAS SLIM 30 PINES IPS SIN GUIAS FHD</t>
  </si>
  <si>
    <t>BATERIA OEM PARA HP RE03XL</t>
  </si>
  <si>
    <t>PANTALLA PARA PORTATIL 13.3 PULGADAS IPS LED SLIM 30 PINES</t>
  </si>
  <si>
    <t>TECLADO PARA PORTATIL LENOVO V320-14ISK</t>
  </si>
  <si>
    <t>PANTALLA 15.6 LED SLIM 30 PIN IPS FULL HD SIN GUIA</t>
  </si>
  <si>
    <t>PANTALLA 14.0 LED SLIM 30 PINES HD IPS SIN GUIAS</t>
  </si>
  <si>
    <t>PANTALLA 15.6 SLIM 30PIN IPS HD SIN GUIAS</t>
  </si>
  <si>
    <t>TECLADO PARA PORTATIL LENOVO 320 14AST</t>
  </si>
  <si>
    <t>TECLADO PARA PORTATIL LENOVO 320-15ISK</t>
  </si>
  <si>
    <t>HP E87740 DEVELOPER UNIT, MAGENTA</t>
  </si>
  <si>
    <t>500400-LP</t>
  </si>
  <si>
    <t>500003-LP</t>
  </si>
  <si>
    <t>CANON T03 IMAGE RUNNER BLACK 39.5K</t>
  </si>
  <si>
    <t>90</t>
  </si>
  <si>
    <t>13</t>
  </si>
  <si>
    <t>LEX-41X2233B</t>
  </si>
  <si>
    <t>225K MAINTENANCE KIT, BELT SY FUSER (115</t>
  </si>
  <si>
    <t>HP-M23769-161</t>
  </si>
  <si>
    <t>SPS-TOP COVER W/KBD CP BL SR LTNA</t>
  </si>
  <si>
    <t>TONER CYAN HY HP LJ M452-CF411X</t>
  </si>
  <si>
    <t>Material</t>
  </si>
  <si>
    <t>Lote</t>
  </si>
  <si>
    <t>Nº pieza fabricante</t>
  </si>
  <si>
    <t>Stock disponible</t>
  </si>
  <si>
    <t>Texto breve de material</t>
  </si>
  <si>
    <t>Unidad almacén</t>
  </si>
  <si>
    <t>Almacén</t>
  </si>
  <si>
    <t>Ubicación</t>
  </si>
  <si>
    <t>Nombre 1</t>
  </si>
  <si>
    <t>Tipo almacén</t>
  </si>
  <si>
    <t>Último movimiento</t>
  </si>
  <si>
    <t>Fecha EM</t>
  </si>
  <si>
    <t>Última entrada</t>
  </si>
  <si>
    <t>Documento de Transporte</t>
  </si>
  <si>
    <t>0002</t>
  </si>
  <si>
    <t>LATIN PARTS COLOMBIA SAS</t>
  </si>
  <si>
    <t>9046166</t>
  </si>
  <si>
    <t>SI-272998</t>
  </si>
  <si>
    <t>2001291502</t>
  </si>
  <si>
    <t>07-A-34-L</t>
  </si>
  <si>
    <t>102</t>
  </si>
  <si>
    <t>HAWB15258</t>
  </si>
  <si>
    <t>9047293</t>
  </si>
  <si>
    <t>HP-RM2-2554-BK</t>
  </si>
  <si>
    <t>HP-RM2-2554-BK - FUSER ASSEMBLY 110</t>
  </si>
  <si>
    <t>07-A-41</t>
  </si>
  <si>
    <t>DV SONDA</t>
  </si>
  <si>
    <t>9133909</t>
  </si>
  <si>
    <t>07-A-46</t>
  </si>
  <si>
    <t>CHINA</t>
  </si>
  <si>
    <t>ZHBVT25000072</t>
  </si>
  <si>
    <t>9026830</t>
  </si>
  <si>
    <t>LEX-40X8420B MS81X, MS71X,MAINT KIT 110V</t>
  </si>
  <si>
    <t>07-A-48</t>
  </si>
  <si>
    <t>HAWB15285</t>
  </si>
  <si>
    <t>9128801</t>
  </si>
  <si>
    <t>SI-272064</t>
  </si>
  <si>
    <t>2001213898</t>
  </si>
  <si>
    <t>HAWB15177</t>
  </si>
  <si>
    <t>9085498</t>
  </si>
  <si>
    <t>200997 CARTUCHO DETONER NEGRO LEXMA</t>
  </si>
  <si>
    <t>07-A-49</t>
  </si>
  <si>
    <t>HAWB15275</t>
  </si>
  <si>
    <t>SI-272969</t>
  </si>
  <si>
    <t>07-B-33-L</t>
  </si>
  <si>
    <t>9027487</t>
  </si>
  <si>
    <t>HP-741727-001</t>
  </si>
  <si>
    <t>HAWB15273</t>
  </si>
  <si>
    <t>9029257</t>
  </si>
  <si>
    <t>SI-271946</t>
  </si>
  <si>
    <t>HP-JC90-01032A CASSETTE-ROLLER RETARD;ML</t>
  </si>
  <si>
    <t>2001200788</t>
  </si>
  <si>
    <t>HAWB15161</t>
  </si>
  <si>
    <t>9088525</t>
  </si>
  <si>
    <t>SI-272523</t>
  </si>
  <si>
    <t>2001249360</t>
  </si>
  <si>
    <t>HAWB15225</t>
  </si>
  <si>
    <t>9117036</t>
  </si>
  <si>
    <t>HP-N00350-001KIT DE CINTA LCD 14</t>
  </si>
  <si>
    <t>HAWB15292</t>
  </si>
  <si>
    <t>9090450</t>
  </si>
  <si>
    <t>0000564998</t>
  </si>
  <si>
    <t>201429P</t>
  </si>
  <si>
    <t>201429P TONER CARTRIDGE, MAGENTA (H</t>
  </si>
  <si>
    <t>2001349861</t>
  </si>
  <si>
    <t>07-B-34-L</t>
  </si>
  <si>
    <t>HAWB15299</t>
  </si>
  <si>
    <t>9098626</t>
  </si>
  <si>
    <t>SI-270138</t>
  </si>
  <si>
    <t>201384Cartucho de tóner negro para</t>
  </si>
  <si>
    <t>2001062918</t>
  </si>
  <si>
    <t>EAMIA24063483-15</t>
  </si>
  <si>
    <t>9098627</t>
  </si>
  <si>
    <t>201385Cartucho de tóner cian para H</t>
  </si>
  <si>
    <t>2001062922</t>
  </si>
  <si>
    <t>9098628</t>
  </si>
  <si>
    <t>201386Cartucho de tóner magenta par</t>
  </si>
  <si>
    <t>2001062917</t>
  </si>
  <si>
    <t>9098629</t>
  </si>
  <si>
    <t>201387Cartucho amarillo para HP W90</t>
  </si>
  <si>
    <t>2001062926</t>
  </si>
  <si>
    <t>07-C-33-L</t>
  </si>
  <si>
    <t>07-C-34-L</t>
  </si>
  <si>
    <t>9045723</t>
  </si>
  <si>
    <t>SI-272634</t>
  </si>
  <si>
    <t>200490P HP LASERJET PRO MFP M521DN, M521</t>
  </si>
  <si>
    <t>2001260332</t>
  </si>
  <si>
    <t>08-A-34-L</t>
  </si>
  <si>
    <t>HAWB15231</t>
  </si>
  <si>
    <t>08-A-44</t>
  </si>
  <si>
    <t>9139350</t>
  </si>
  <si>
    <t>0000555848</t>
  </si>
  <si>
    <t>2001336227</t>
  </si>
  <si>
    <t>CSZ/BVT-K568627</t>
  </si>
  <si>
    <t>9031176</t>
  </si>
  <si>
    <t>SI-269744</t>
  </si>
  <si>
    <t>200950P CARTRIDGE CYAN (HIGH YIELD)</t>
  </si>
  <si>
    <t>2001044780</t>
  </si>
  <si>
    <t>08-B-34-L</t>
  </si>
  <si>
    <t>HAWB14928</t>
  </si>
  <si>
    <t>9098632</t>
  </si>
  <si>
    <t>SI-269224</t>
  </si>
  <si>
    <t>201173PCartucho de tóner cian de al</t>
  </si>
  <si>
    <t>2001017987</t>
  </si>
  <si>
    <t>HAWB14885</t>
  </si>
  <si>
    <t>2001044792</t>
  </si>
  <si>
    <t>SI-269873</t>
  </si>
  <si>
    <t>2001051726</t>
  </si>
  <si>
    <t>HAWB14939</t>
  </si>
  <si>
    <t>9098633</t>
  </si>
  <si>
    <t>201175PCartucho de tóner amarillo d</t>
  </si>
  <si>
    <t>2001017988</t>
  </si>
  <si>
    <t>2001044791</t>
  </si>
  <si>
    <t>2001051725</t>
  </si>
  <si>
    <t>9100188</t>
  </si>
  <si>
    <t>SI-269424</t>
  </si>
  <si>
    <t>201174PCartucho de tóner magenta de</t>
  </si>
  <si>
    <t>2001029955</t>
  </si>
  <si>
    <t>SI-269502</t>
  </si>
  <si>
    <t>2001033397</t>
  </si>
  <si>
    <t>9101937</t>
  </si>
  <si>
    <t>201050PCF230X, CARTUCHO DE TÓNER (A</t>
  </si>
  <si>
    <t>2001051978</t>
  </si>
  <si>
    <t>08-C-33-L</t>
  </si>
  <si>
    <t>9050680</t>
  </si>
  <si>
    <t>HP-JC98-05425A - SKD-TRANSFER ITB;X</t>
  </si>
  <si>
    <t>2001281115</t>
  </si>
  <si>
    <t>9140882</t>
  </si>
  <si>
    <t>0000558299</t>
  </si>
  <si>
    <t>2001333604</t>
  </si>
  <si>
    <t>08-C-34-L</t>
  </si>
  <si>
    <t>09-B-33-L</t>
  </si>
  <si>
    <t>09-B-34-L</t>
  </si>
  <si>
    <t>9037542</t>
  </si>
  <si>
    <t>DV DATALIN</t>
  </si>
  <si>
    <t>HP-RM2-5712-000-REAR DOOR ASSEMBLY - FO</t>
  </si>
  <si>
    <t>2001240123</t>
  </si>
  <si>
    <t>9129387</t>
  </si>
  <si>
    <t>2001291460</t>
  </si>
  <si>
    <t>09-C-34-L</t>
  </si>
  <si>
    <t>DV PROYEC</t>
  </si>
  <si>
    <t>2001323375</t>
  </si>
  <si>
    <t>9087030</t>
  </si>
  <si>
    <t>M21155-001 SPS-LCD BACK COVER</t>
  </si>
  <si>
    <t>2001282876</t>
  </si>
  <si>
    <t>10-A-33-L</t>
  </si>
  <si>
    <t>10-B-34-L</t>
  </si>
  <si>
    <t>9140567</t>
  </si>
  <si>
    <t>0000556620</t>
  </si>
  <si>
    <t>2001328887</t>
  </si>
  <si>
    <t>10-C-33-L</t>
  </si>
  <si>
    <t>HAWB15282</t>
  </si>
  <si>
    <t>9036993</t>
  </si>
  <si>
    <t>0000553863</t>
  </si>
  <si>
    <t>HP-L65224-161-SPS-TOP COVER W</t>
  </si>
  <si>
    <t>2001322611</t>
  </si>
  <si>
    <t>10-C-34-L</t>
  </si>
  <si>
    <t>07-A-33-L</t>
  </si>
  <si>
    <t>0000551406</t>
  </si>
  <si>
    <t>2001318746</t>
  </si>
  <si>
    <t>9034106</t>
  </si>
  <si>
    <t>0000553879</t>
  </si>
  <si>
    <t>LEX-41X1228 MS521/MX52x FUSER MAINT KIT</t>
  </si>
  <si>
    <t>2001322588</t>
  </si>
  <si>
    <t>SI-272905</t>
  </si>
  <si>
    <t>2001278855</t>
  </si>
  <si>
    <t>HAWB15250</t>
  </si>
  <si>
    <t>9100189</t>
  </si>
  <si>
    <t>201319PCARTUCHO DE TONER MICR. MS31</t>
  </si>
  <si>
    <t>2001029956</t>
  </si>
  <si>
    <t>9126421</t>
  </si>
  <si>
    <t>2001200801</t>
  </si>
  <si>
    <t>09-C-33-L</t>
  </si>
  <si>
    <t>9084661</t>
  </si>
  <si>
    <t>HP-M05460-161 SPS-TOP COVER DAS MSK</t>
  </si>
  <si>
    <t>2001278604</t>
  </si>
  <si>
    <t>9085495</t>
  </si>
  <si>
    <t>9123183</t>
  </si>
  <si>
    <t>9086520</t>
  </si>
  <si>
    <t>B5L35A 110-VOLT FUSER KIT</t>
  </si>
  <si>
    <t>10-B-33-L</t>
  </si>
  <si>
    <t>9027629</t>
  </si>
  <si>
    <t>0000558319</t>
  </si>
  <si>
    <t>LEX-41X1325 SVC ROLLERS DADF SEPARATOR</t>
  </si>
  <si>
    <t>2001333622</t>
  </si>
  <si>
    <t>9045918</t>
  </si>
  <si>
    <t>SI-269924</t>
  </si>
  <si>
    <t>2001054325</t>
  </si>
  <si>
    <t>EAMIA24063096-16</t>
  </si>
  <si>
    <t>9140152</t>
  </si>
  <si>
    <t>0000555845</t>
  </si>
  <si>
    <t>2001326728</t>
  </si>
  <si>
    <t>9044655</t>
  </si>
  <si>
    <t>2001054334</t>
  </si>
  <si>
    <t>9048136</t>
  </si>
  <si>
    <t>2001054309</t>
  </si>
  <si>
    <t>9089840</t>
  </si>
  <si>
    <t>DV COLSOF</t>
  </si>
  <si>
    <t>N09213-001 SPS-STAND HAS 27 870G9 A</t>
  </si>
  <si>
    <t>2001246578</t>
  </si>
  <si>
    <t>9026381</t>
  </si>
  <si>
    <t>SI-272242</t>
  </si>
  <si>
    <t>CE246A FUSER KIT 110V CLJ CP4025</t>
  </si>
  <si>
    <t>2001226070</t>
  </si>
  <si>
    <t>HAWB15199</t>
  </si>
  <si>
    <t>9042175</t>
  </si>
  <si>
    <t>0000542119</t>
  </si>
  <si>
    <t>2001301029</t>
  </si>
  <si>
    <t>HAWB15262</t>
  </si>
  <si>
    <t>9085768</t>
  </si>
  <si>
    <t>9109674</t>
  </si>
  <si>
    <t>200778LPBBC2 200778LPB PRE COMP CHI</t>
  </si>
  <si>
    <t>9056793</t>
  </si>
  <si>
    <t>0000542097</t>
  </si>
  <si>
    <t>2001301007</t>
  </si>
  <si>
    <t>9140118</t>
  </si>
  <si>
    <t>0000555811</t>
  </si>
  <si>
    <t>2001324233</t>
  </si>
  <si>
    <t>9037229</t>
  </si>
  <si>
    <t>07-A-42</t>
  </si>
  <si>
    <t>0000553878</t>
  </si>
  <si>
    <t>2001322589</t>
  </si>
  <si>
    <t>9027985</t>
  </si>
  <si>
    <t>LEX-41X2233B 225K MAINT KIT BELT SY FUSE</t>
  </si>
  <si>
    <t>9140120</t>
  </si>
  <si>
    <t>0000555813</t>
  </si>
  <si>
    <t>2001325659</t>
  </si>
  <si>
    <t>9140129</t>
  </si>
  <si>
    <t>0000555821</t>
  </si>
  <si>
    <t>2001324232</t>
  </si>
  <si>
    <t>9140134</t>
  </si>
  <si>
    <t>0000555827</t>
  </si>
  <si>
    <t>2001325240</t>
  </si>
  <si>
    <t>9140144</t>
  </si>
  <si>
    <t>0000555835</t>
  </si>
  <si>
    <t>2001324934</t>
  </si>
  <si>
    <t>9140149</t>
  </si>
  <si>
    <t>0000555842</t>
  </si>
  <si>
    <t>2001324237</t>
  </si>
  <si>
    <t>9140150</t>
  </si>
  <si>
    <t>0000555843</t>
  </si>
  <si>
    <t>2001325245</t>
  </si>
  <si>
    <t>9140151</t>
  </si>
  <si>
    <t>0000555844</t>
  </si>
  <si>
    <t>2001325680</t>
  </si>
  <si>
    <t>9140153</t>
  </si>
  <si>
    <t>0000555846</t>
  </si>
  <si>
    <t>2001325687</t>
  </si>
  <si>
    <t>9140154</t>
  </si>
  <si>
    <t>0000555847</t>
  </si>
  <si>
    <t>2001325244</t>
  </si>
  <si>
    <t>9140163</t>
  </si>
  <si>
    <t>0000555856</t>
  </si>
  <si>
    <t>2001325558</t>
  </si>
  <si>
    <t>9140164</t>
  </si>
  <si>
    <t>0000555857</t>
  </si>
  <si>
    <t>2001325556</t>
  </si>
  <si>
    <t>9140165</t>
  </si>
  <si>
    <t>0000555858</t>
  </si>
  <si>
    <t>2001325504</t>
  </si>
  <si>
    <t>9140166</t>
  </si>
  <si>
    <t>0000555859</t>
  </si>
  <si>
    <t>2001325630</t>
  </si>
  <si>
    <t>9140167</t>
  </si>
  <si>
    <t>0000555860</t>
  </si>
  <si>
    <t>2001325624</t>
  </si>
  <si>
    <t>9140168</t>
  </si>
  <si>
    <t>0000555861</t>
  </si>
  <si>
    <t>2001325512</t>
  </si>
  <si>
    <t>9140169</t>
  </si>
  <si>
    <t>0000555862</t>
  </si>
  <si>
    <t>2001326729</t>
  </si>
  <si>
    <t>9140171</t>
  </si>
  <si>
    <t>0000555864</t>
  </si>
  <si>
    <t>2001325553</t>
  </si>
  <si>
    <t>9140172</t>
  </si>
  <si>
    <t>0000555865</t>
  </si>
  <si>
    <t>2001325509</t>
  </si>
  <si>
    <t>9140174</t>
  </si>
  <si>
    <t>0000555867</t>
  </si>
  <si>
    <t>2001325552</t>
  </si>
  <si>
    <t>9140175</t>
  </si>
  <si>
    <t>0000555868</t>
  </si>
  <si>
    <t>2001325451</t>
  </si>
  <si>
    <t>9140176</t>
  </si>
  <si>
    <t>0000555869</t>
  </si>
  <si>
    <t>2001325443</t>
  </si>
  <si>
    <t>9140177</t>
  </si>
  <si>
    <t>0000555870</t>
  </si>
  <si>
    <t>2001325459</t>
  </si>
  <si>
    <t>9140178</t>
  </si>
  <si>
    <t>0000555871</t>
  </si>
  <si>
    <t>2001325464</t>
  </si>
  <si>
    <t>9140179</t>
  </si>
  <si>
    <t>0000555872</t>
  </si>
  <si>
    <t>2001325449</t>
  </si>
  <si>
    <t>9140180</t>
  </si>
  <si>
    <t>0000555873</t>
  </si>
  <si>
    <t>2001325446</t>
  </si>
  <si>
    <t>9140181</t>
  </si>
  <si>
    <t>0000555874</t>
  </si>
  <si>
    <t>2001325456</t>
  </si>
  <si>
    <t>9140182</t>
  </si>
  <si>
    <t>0000555875</t>
  </si>
  <si>
    <t>2001325469</t>
  </si>
  <si>
    <t>9140184</t>
  </si>
  <si>
    <t>0000555877</t>
  </si>
  <si>
    <t>2001325497</t>
  </si>
  <si>
    <t>9090562</t>
  </si>
  <si>
    <t>0000562179</t>
  </si>
  <si>
    <t>HP-M23769-161SPS-TOP COVER W/KBD CP</t>
  </si>
  <si>
    <t>2001344971</t>
  </si>
  <si>
    <t>9109670</t>
  </si>
  <si>
    <t>200180LPBC2 200180LP P3 COMP CHIP H</t>
  </si>
  <si>
    <t>07-A-43</t>
  </si>
  <si>
    <t>CTBVT2507082N</t>
  </si>
  <si>
    <t>07-A-45</t>
  </si>
  <si>
    <t>9109672</t>
  </si>
  <si>
    <t>200628LPBC2 200628LP P1 COMP-K CH-L</t>
  </si>
  <si>
    <t>2001058696</t>
  </si>
  <si>
    <t>09-A-34-L</t>
  </si>
  <si>
    <t>ZHIBVT244044</t>
  </si>
  <si>
    <t>9109668</t>
  </si>
  <si>
    <t>200952LPBC2 200952LP PRE COMP CHIP</t>
  </si>
  <si>
    <t>08-A-48</t>
  </si>
  <si>
    <t>9140119</t>
  </si>
  <si>
    <t>0000555812</t>
  </si>
  <si>
    <t>2001325424</t>
  </si>
  <si>
    <t>9140132</t>
  </si>
  <si>
    <t>0000555825</t>
  </si>
  <si>
    <t>2001324926</t>
  </si>
  <si>
    <t>9140187</t>
  </si>
  <si>
    <t>SI-272999</t>
  </si>
  <si>
    <t>2001326831</t>
  </si>
  <si>
    <t>9140188</t>
  </si>
  <si>
    <t>2001326825</t>
  </si>
  <si>
    <t>9140189</t>
  </si>
  <si>
    <t>2001326829</t>
  </si>
  <si>
    <t>9140190</t>
  </si>
  <si>
    <t>2001326832</t>
  </si>
  <si>
    <t>9140191</t>
  </si>
  <si>
    <t>2001326835</t>
  </si>
  <si>
    <t>9140192</t>
  </si>
  <si>
    <t>2001326838</t>
  </si>
  <si>
    <t>9140193</t>
  </si>
  <si>
    <t>2001326840</t>
  </si>
  <si>
    <t>9140194</t>
  </si>
  <si>
    <t>2001326843</t>
  </si>
  <si>
    <t>9084686</t>
  </si>
  <si>
    <t>0000562169</t>
  </si>
  <si>
    <t>200818P HP M630 M605 -40K</t>
  </si>
  <si>
    <t>2001344954</t>
  </si>
  <si>
    <t>07-A-44</t>
  </si>
  <si>
    <t>9088167</t>
  </si>
  <si>
    <t>201304 LEXMARK MS510DN, MS610DE, MS</t>
  </si>
  <si>
    <t>9140107</t>
  </si>
  <si>
    <t>0000555800</t>
  </si>
  <si>
    <t>2001326726</t>
  </si>
  <si>
    <t>9140108</t>
  </si>
  <si>
    <t>0000555801</t>
  </si>
  <si>
    <t>2001324903</t>
  </si>
  <si>
    <t>9140111</t>
  </si>
  <si>
    <t>0000555804</t>
  </si>
  <si>
    <t>2001324902</t>
  </si>
  <si>
    <t>9140114</t>
  </si>
  <si>
    <t>0000555807</t>
  </si>
  <si>
    <t>2001324228</t>
  </si>
  <si>
    <t>0000555808</t>
  </si>
  <si>
    <t>2001324872</t>
  </si>
  <si>
    <t>9140117</t>
  </si>
  <si>
    <t>0000555810</t>
  </si>
  <si>
    <t>2001324227</t>
  </si>
  <si>
    <t>9140128</t>
  </si>
  <si>
    <t>0000555820</t>
  </si>
  <si>
    <t>2001325675</t>
  </si>
  <si>
    <t>9140130</t>
  </si>
  <si>
    <t>0000555823</t>
  </si>
  <si>
    <t>2001325677</t>
  </si>
  <si>
    <t>9140133</t>
  </si>
  <si>
    <t>0000555826</t>
  </si>
  <si>
    <t>2001325676</t>
  </si>
  <si>
    <t>9140138</t>
  </si>
  <si>
    <t>0000555830</t>
  </si>
  <si>
    <t>2001325243</t>
  </si>
  <si>
    <t>9140140</t>
  </si>
  <si>
    <t>0000555831</t>
  </si>
  <si>
    <t>2001325674</t>
  </si>
  <si>
    <t>9140141</t>
  </si>
  <si>
    <t>0000555832</t>
  </si>
  <si>
    <t>2001325428</t>
  </si>
  <si>
    <t>9140142</t>
  </si>
  <si>
    <t>0000555833</t>
  </si>
  <si>
    <t>2001325667</t>
  </si>
  <si>
    <t>9140143</t>
  </si>
  <si>
    <t>0000555834</t>
  </si>
  <si>
    <t>2001324942</t>
  </si>
  <si>
    <t>9140145</t>
  </si>
  <si>
    <t>0000555838</t>
  </si>
  <si>
    <t>2001324940</t>
  </si>
  <si>
    <t>9140148</t>
  </si>
  <si>
    <t>0000555841</t>
  </si>
  <si>
    <t>2001324899</t>
  </si>
  <si>
    <t>9140160</t>
  </si>
  <si>
    <t>2001326820</t>
  </si>
  <si>
    <t>9140161</t>
  </si>
  <si>
    <t>2001326823</t>
  </si>
  <si>
    <t>2001326725</t>
  </si>
  <si>
    <t>2001275238</t>
  </si>
  <si>
    <t>9140156</t>
  </si>
  <si>
    <t>2001326811</t>
  </si>
  <si>
    <t>9140157</t>
  </si>
  <si>
    <t>2001326812</t>
  </si>
  <si>
    <t>9140158</t>
  </si>
  <si>
    <t>2001326814</t>
  </si>
  <si>
    <t>9109671</t>
  </si>
  <si>
    <t>200173LPBC2 200173LP P3 COMP CHIP H</t>
  </si>
  <si>
    <t>2001058711</t>
  </si>
  <si>
    <t>08-A-42</t>
  </si>
  <si>
    <t>2001275181</t>
  </si>
  <si>
    <t>9140110</t>
  </si>
  <si>
    <t>0000555803</t>
  </si>
  <si>
    <t>2001324889</t>
  </si>
  <si>
    <t>9140123</t>
  </si>
  <si>
    <t>0000555815</t>
  </si>
  <si>
    <t>2001324226</t>
  </si>
  <si>
    <t>9140126</t>
  </si>
  <si>
    <t>0000555818</t>
  </si>
  <si>
    <t>2001324234</t>
  </si>
  <si>
    <t>9140136</t>
  </si>
  <si>
    <t>0000555828</t>
  </si>
  <si>
    <t>2001325650</t>
  </si>
  <si>
    <t>0000555837</t>
  </si>
  <si>
    <t>2001324923</t>
  </si>
  <si>
    <t>9140147</t>
  </si>
  <si>
    <t>0000555840</t>
  </si>
  <si>
    <t>2001325648</t>
  </si>
  <si>
    <t>9109673</t>
  </si>
  <si>
    <t>200897LPBBC2 200897LPB PRE COMP CHI</t>
  </si>
  <si>
    <t>08-A-45</t>
  </si>
  <si>
    <t>08-A-33-L</t>
  </si>
  <si>
    <t>9109666</t>
  </si>
  <si>
    <t>200554LPBC2 PRE COMP CHIP HPQ CE390</t>
  </si>
  <si>
    <t>2001058685</t>
  </si>
  <si>
    <t>08-A-41</t>
  </si>
  <si>
    <t>9133910</t>
  </si>
  <si>
    <t>2001275182</t>
  </si>
  <si>
    <t>9140106</t>
  </si>
  <si>
    <t>0000555799</t>
  </si>
  <si>
    <t>2001324939</t>
  </si>
  <si>
    <t>9140109</t>
  </si>
  <si>
    <t>0000555802</t>
  </si>
  <si>
    <t>2001324938</t>
  </si>
  <si>
    <t>9140112</t>
  </si>
  <si>
    <t>0000555805</t>
  </si>
  <si>
    <t>2001324223</t>
  </si>
  <si>
    <t>9140115</t>
  </si>
  <si>
    <t>0000555809</t>
  </si>
  <si>
    <t>2001324231</t>
  </si>
  <si>
    <t>9140122</t>
  </si>
  <si>
    <t>0000555814</t>
  </si>
  <si>
    <t>2001324876</t>
  </si>
  <si>
    <t>9140127</t>
  </si>
  <si>
    <t>0000555819</t>
  </si>
  <si>
    <t>2001324592</t>
  </si>
  <si>
    <t>9140137</t>
  </si>
  <si>
    <t>0000555829</t>
  </si>
  <si>
    <t>2001324229</t>
  </si>
  <si>
    <t>0000555836</t>
  </si>
  <si>
    <t>2001325741</t>
  </si>
  <si>
    <t>9140159</t>
  </si>
  <si>
    <t>2001326815</t>
  </si>
  <si>
    <t>9109664</t>
  </si>
  <si>
    <t>200949LPBC2 200949LP PRE COMP CHIP</t>
  </si>
  <si>
    <t>2001275178</t>
  </si>
  <si>
    <t>08-A-43</t>
  </si>
  <si>
    <t>9109667</t>
  </si>
  <si>
    <t>200950LPBC2 200950LP PRE COMP CHIP</t>
  </si>
  <si>
    <t>2001275230</t>
  </si>
  <si>
    <t>9109669</t>
  </si>
  <si>
    <t>200951LPBC2 200951LP PRE COMP CHIP</t>
  </si>
  <si>
    <t>2001275175</t>
  </si>
  <si>
    <t>9140124</t>
  </si>
  <si>
    <t>0000555816</t>
  </si>
  <si>
    <t>2001326727</t>
  </si>
  <si>
    <t>0000555822</t>
  </si>
  <si>
    <t>2001324587</t>
  </si>
  <si>
    <t>9140146</t>
  </si>
  <si>
    <t>0000555839</t>
  </si>
  <si>
    <t>2001324928</t>
  </si>
  <si>
    <t>9086802</t>
  </si>
  <si>
    <t>2001275119</t>
  </si>
  <si>
    <t>9140113</t>
  </si>
  <si>
    <t>0000555806</t>
  </si>
  <si>
    <t>2001325745</t>
  </si>
  <si>
    <t>9140131</t>
  </si>
  <si>
    <t>0000555824</t>
  </si>
  <si>
    <t>2001324879</t>
  </si>
  <si>
    <t>07-A-52</t>
  </si>
  <si>
    <t>9148954</t>
  </si>
  <si>
    <t>0000569054</t>
  </si>
  <si>
    <t>500003-LP T03 CANON</t>
  </si>
  <si>
    <t>2001354701</t>
  </si>
  <si>
    <t>LE00SH250800907H</t>
  </si>
  <si>
    <t>2001275120</t>
  </si>
  <si>
    <t>08-A-49</t>
  </si>
  <si>
    <t>08-A-52</t>
  </si>
  <si>
    <t>9140125</t>
  </si>
  <si>
    <t>0000555817</t>
  </si>
  <si>
    <t>2001324937</t>
  </si>
  <si>
    <t>0000569055</t>
  </si>
  <si>
    <t>2001354702</t>
  </si>
  <si>
    <t>9109663</t>
  </si>
  <si>
    <t>2001220076</t>
  </si>
  <si>
    <t>ZHBVT190800431426</t>
  </si>
  <si>
    <t>9148955</t>
  </si>
  <si>
    <t>500400-LP LEXMARK BLACK</t>
  </si>
  <si>
    <t>07-A-47</t>
  </si>
  <si>
    <t>2001275206</t>
  </si>
  <si>
    <t>9026694</t>
  </si>
  <si>
    <t>L2718A-LP-ADF roller replacement kit - L</t>
  </si>
  <si>
    <t>2001296581</t>
  </si>
  <si>
    <t>2001275184</t>
  </si>
  <si>
    <t>0000569053</t>
  </si>
  <si>
    <t>2001354704</t>
  </si>
  <si>
    <t>08-A-47</t>
  </si>
  <si>
    <t>08-A-46</t>
  </si>
  <si>
    <t>9123909</t>
  </si>
  <si>
    <t>D008AK001-Conjunto de fusor 110V Br</t>
  </si>
  <si>
    <t>2001292844</t>
  </si>
  <si>
    <t>07-A-51</t>
  </si>
  <si>
    <t>9109675</t>
  </si>
  <si>
    <t>200552LPBBC2 200552LPB P3 COMP CH H</t>
  </si>
  <si>
    <t>2001292839</t>
  </si>
  <si>
    <t>08-A-51</t>
  </si>
  <si>
    <t>HP-851610-855</t>
  </si>
  <si>
    <t>BATTERY (PRIMARY) - 4  CELL LITHIUM-ION</t>
  </si>
  <si>
    <t>TONER CARTRIDGE (EXTENDED YIELD) MS711DN, MS811DN</t>
  </si>
  <si>
    <t>XEROX B405 BLACK HIGH YIELD TONER</t>
  </si>
  <si>
    <t>500405-LP</t>
  </si>
  <si>
    <t>LEXMARK BLK MX826/MX822/MS823/MS826/MX722 - 58D4X00 -35K</t>
  </si>
  <si>
    <t>72</t>
  </si>
  <si>
    <t>48</t>
  </si>
  <si>
    <t>TONER CARTRIDGE, MAGENTA (HIGH YIELD) M479DW</t>
  </si>
  <si>
    <t>CIG BLACK TONER LEXMARK COMP. MX722/MX822/MX826 - 55K</t>
  </si>
  <si>
    <t>208</t>
  </si>
  <si>
    <t>HP-M21389-001</t>
  </si>
  <si>
    <t>SPS-LCD RAW PANEL 14.0 FHD AG UWVA 250N</t>
  </si>
  <si>
    <t>W5U23A-LP</t>
  </si>
  <si>
    <t>ADF ROLLER REPLACEMENT KIT</t>
  </si>
  <si>
    <t>SSS0L24817</t>
  </si>
  <si>
    <t>LENOVO SSS0L24817 512GB SATA 16GBS 2.5-INCH SOLID STATE DDR 4</t>
  </si>
  <si>
    <t>JC91-01023A-LP</t>
  </si>
  <si>
    <t>FUSER ASSEMBLY 110V</t>
  </si>
  <si>
    <t>HP-N01287-161</t>
  </si>
  <si>
    <t>TOP COVER WITHKEYBOARD BL LATIN AMERICA</t>
  </si>
  <si>
    <t>HP-M23367-161</t>
  </si>
  <si>
    <t>HP-M99648-161</t>
  </si>
  <si>
    <t>TOPCVR W/KEYBOARD CP DSC LATIN AMERICA</t>
  </si>
  <si>
    <t>HP-RM2-6576-BK</t>
  </si>
  <si>
    <t>Kit-Intermediate Transfer Belt  M552/54/</t>
  </si>
  <si>
    <t>FIXING ASSYDUPLEX 110127V</t>
  </si>
  <si>
    <t>KIT DE RODILLOS DE ADF HP SERIE M600/M70</t>
  </si>
  <si>
    <t>HP-RM2-4696-000</t>
  </si>
  <si>
    <t>ASSY-FUSER 110V</t>
  </si>
  <si>
    <t>002999C-LP</t>
  </si>
  <si>
    <t>CARGADOR PARA PORTATIL ACER ULTRABOOK 19V 3.42A DOS PARTES</t>
  </si>
  <si>
    <t>200830LP</t>
  </si>
  <si>
    <t>TONER NEGRO BROTHER L2405-TN830XL-COMPT-3K</t>
  </si>
  <si>
    <t>200778LPB-CL</t>
  </si>
  <si>
    <t>37</t>
  </si>
  <si>
    <t>HAWB22261</t>
  </si>
  <si>
    <t>HAWB22276</t>
  </si>
  <si>
    <t>HAWB22245</t>
  </si>
  <si>
    <t>HAWB15317</t>
  </si>
  <si>
    <t>9089588</t>
  </si>
  <si>
    <t>0000577236</t>
  </si>
  <si>
    <t>201188PLA XEROX B405 BLACK HIGH YIE</t>
  </si>
  <si>
    <t>2001375403</t>
  </si>
  <si>
    <t>9042178</t>
  </si>
  <si>
    <t>DVMICROHOM</t>
  </si>
  <si>
    <t>HP-851610-855 - BATTERY (PRIMARY)</t>
  </si>
  <si>
    <t>2001393222</t>
  </si>
  <si>
    <t>08-B-33-L</t>
  </si>
  <si>
    <t>9152673</t>
  </si>
  <si>
    <t>56990</t>
  </si>
  <si>
    <t>2001393348</t>
  </si>
  <si>
    <t>HAWB15321</t>
  </si>
  <si>
    <t>9117163</t>
  </si>
  <si>
    <t>DVTECNOLOG</t>
  </si>
  <si>
    <t>HP-RM2-6576-BKIMAGE TRANSFER BELT</t>
  </si>
  <si>
    <t>2001393223</t>
  </si>
  <si>
    <t>2001393221</t>
  </si>
  <si>
    <t>9085762</t>
  </si>
  <si>
    <t>0000581698</t>
  </si>
  <si>
    <t>HP-M21389-001 SPS-LCD RAW PANEL 14.</t>
  </si>
  <si>
    <t>2001385292</t>
  </si>
  <si>
    <t>HAWB22218</t>
  </si>
  <si>
    <t>HAWB22253</t>
  </si>
  <si>
    <t>9140563</t>
  </si>
  <si>
    <t>DEV MAAKAL</t>
  </si>
  <si>
    <t>2001428242</t>
  </si>
  <si>
    <t>HAWB15325</t>
  </si>
  <si>
    <t>9036829</t>
  </si>
  <si>
    <t>W5U23A-LP ADF ROLLER REPLACEMENT KIT</t>
  </si>
  <si>
    <t>201381 MS710 TON LEX BL30K</t>
  </si>
  <si>
    <t>09-A-33-L</t>
  </si>
  <si>
    <t>0000583551</t>
  </si>
  <si>
    <t>2001391207</t>
  </si>
  <si>
    <t>0000577244</t>
  </si>
  <si>
    <t>2001375422</t>
  </si>
  <si>
    <t>9095719</t>
  </si>
  <si>
    <t>0000589603</t>
  </si>
  <si>
    <t>HP-RM2-4696-000CONJUNTO DEL FUSOR 1</t>
  </si>
  <si>
    <t>2001405172</t>
  </si>
  <si>
    <t>0000577245</t>
  </si>
  <si>
    <t>2001375423</t>
  </si>
  <si>
    <t>9088529</t>
  </si>
  <si>
    <t>201382 TONER CARTRIDGE (EXTENDED YI</t>
  </si>
  <si>
    <t>0000579978</t>
  </si>
  <si>
    <t>2001380243</t>
  </si>
  <si>
    <t>HAWB15320</t>
  </si>
  <si>
    <t>9026556</t>
  </si>
  <si>
    <t>0000600624</t>
  </si>
  <si>
    <t>2001430913</t>
  </si>
  <si>
    <t>0000598081</t>
  </si>
  <si>
    <t>2001424707</t>
  </si>
  <si>
    <t>FEB29636</t>
  </si>
  <si>
    <t>2001427878</t>
  </si>
  <si>
    <t>0000579980</t>
  </si>
  <si>
    <t>2001380236</t>
  </si>
  <si>
    <t>9154409</t>
  </si>
  <si>
    <t>0000604489</t>
  </si>
  <si>
    <t>2001436266</t>
  </si>
  <si>
    <t>2026-00806</t>
  </si>
  <si>
    <t>0000603646</t>
  </si>
  <si>
    <t>2001433726</t>
  </si>
  <si>
    <t>HKG/BUN/02045</t>
  </si>
  <si>
    <t>0000603647</t>
  </si>
  <si>
    <t>2001433729</t>
  </si>
  <si>
    <t>0000603648</t>
  </si>
  <si>
    <t>2001433715</t>
  </si>
  <si>
    <t>0000603650</t>
  </si>
  <si>
    <t>2001434301</t>
  </si>
  <si>
    <t>0000603651</t>
  </si>
  <si>
    <t>2001433719</t>
  </si>
  <si>
    <t>0000603653</t>
  </si>
  <si>
    <t>2001433710</t>
  </si>
  <si>
    <t>0000603649</t>
  </si>
  <si>
    <t>2001433854</t>
  </si>
  <si>
    <t>0000603652</t>
  </si>
  <si>
    <t>2001433892</t>
  </si>
  <si>
    <t>9027973</t>
  </si>
  <si>
    <t>0000595884</t>
  </si>
  <si>
    <t>RM2-5679-LP-H.P LJ Pro501/Enterprise M50</t>
  </si>
  <si>
    <t>2001417933</t>
  </si>
  <si>
    <t>9026537</t>
  </si>
  <si>
    <t>0000600623</t>
  </si>
  <si>
    <t>2001430907</t>
  </si>
  <si>
    <t>0000603644</t>
  </si>
  <si>
    <t>2001433670</t>
  </si>
  <si>
    <t>0000603645</t>
  </si>
  <si>
    <t>2001433671</t>
  </si>
  <si>
    <t>2001385026</t>
  </si>
  <si>
    <t>0000603643</t>
  </si>
  <si>
    <t>2001433666</t>
  </si>
  <si>
    <t>0000603641</t>
  </si>
  <si>
    <t>2001435126</t>
  </si>
  <si>
    <t>0000603642</t>
  </si>
  <si>
    <t>2001433691</t>
  </si>
  <si>
    <t>0000603640</t>
  </si>
  <si>
    <t>2001433850</t>
  </si>
  <si>
    <t>9154563</t>
  </si>
  <si>
    <t>0000577235</t>
  </si>
  <si>
    <t>2001375402</t>
  </si>
  <si>
    <t>0000603638</t>
  </si>
  <si>
    <t>2001433702</t>
  </si>
  <si>
    <t>0000603768</t>
  </si>
  <si>
    <t>2001436996</t>
  </si>
  <si>
    <t>9154325</t>
  </si>
  <si>
    <t>0000598077</t>
  </si>
  <si>
    <t>2001422027</t>
  </si>
  <si>
    <t>07-A-58</t>
  </si>
  <si>
    <t>SZPBUN5834915V</t>
  </si>
  <si>
    <t>0000602388</t>
  </si>
  <si>
    <t>2001432621</t>
  </si>
  <si>
    <t>CLX25112144-2</t>
  </si>
  <si>
    <t>0000602389</t>
  </si>
  <si>
    <t>2001432622</t>
  </si>
  <si>
    <t>CF258X BLACK TONER</t>
  </si>
  <si>
    <t>CAB6545621123</t>
  </si>
  <si>
    <t>CABLE TREBOL</t>
  </si>
  <si>
    <t>HP-5851-8850</t>
  </si>
  <si>
    <t>KIT-ADF WHITE BACKING (SERIE 5xxx)</t>
  </si>
  <si>
    <t>LEX-40X9929</t>
  </si>
  <si>
    <t>ITU/TB  CS72x CX72x Transfer Module</t>
  </si>
  <si>
    <t>RM2-5399-LP</t>
  </si>
  <si>
    <t>Fuser Assembly - For 110 VAC - Bonds ton</t>
  </si>
  <si>
    <t>M42490-161</t>
  </si>
  <si>
    <t>SPS-TOPCOVER W/ KBD AHS ISK STD TP LTNA</t>
  </si>
  <si>
    <t>21</t>
  </si>
  <si>
    <t>HP-RM2-6745-000</t>
  </si>
  <si>
    <t>FRONT DOOR ASSEMBLY</t>
  </si>
  <si>
    <t>100</t>
  </si>
  <si>
    <t>40</t>
  </si>
  <si>
    <t>60</t>
  </si>
  <si>
    <t>003271C-LP</t>
  </si>
  <si>
    <t>CARGADOR PARA PORTATIL ASUS 19V 2.37A GENERICO CUADRADO</t>
  </si>
  <si>
    <t>47</t>
  </si>
  <si>
    <t>FeCaduc/FePreferCons</t>
  </si>
  <si>
    <t>Lote de proveedor</t>
  </si>
  <si>
    <t>252525</t>
  </si>
  <si>
    <t>SI-274205</t>
  </si>
  <si>
    <t>HAWB22305</t>
  </si>
  <si>
    <t>9034168</t>
  </si>
  <si>
    <t>FECO61553</t>
  </si>
  <si>
    <t>2001439422</t>
  </si>
  <si>
    <t>0000608929</t>
  </si>
  <si>
    <t>2001446538</t>
  </si>
  <si>
    <t>HAWB22295</t>
  </si>
  <si>
    <t>9155150</t>
  </si>
  <si>
    <t>2001439421</t>
  </si>
  <si>
    <t>HP-N01287-001</t>
  </si>
  <si>
    <t>DV SUMIMAS</t>
  </si>
  <si>
    <t>2001448337</t>
  </si>
  <si>
    <t>SI-273725</t>
  </si>
  <si>
    <t>2F50040450078</t>
  </si>
  <si>
    <t>2001458509</t>
  </si>
  <si>
    <t>15102055</t>
  </si>
  <si>
    <t>SI-273375</t>
  </si>
  <si>
    <t>273406</t>
  </si>
  <si>
    <t>HAWB22282</t>
  </si>
  <si>
    <t>SI-274296</t>
  </si>
  <si>
    <t>9154572</t>
  </si>
  <si>
    <t>0000612282</t>
  </si>
  <si>
    <t>LEX-40X9929B</t>
  </si>
  <si>
    <t>2001452932</t>
  </si>
  <si>
    <t>9026616</t>
  </si>
  <si>
    <t>9154335</t>
  </si>
  <si>
    <t>PVB120E12H</t>
  </si>
  <si>
    <t>9036047</t>
  </si>
  <si>
    <t>0000606538</t>
  </si>
  <si>
    <t>HP-RM2-6745-000 FRONT DOOR ASSEMBLY</t>
  </si>
  <si>
    <t>2001441249</t>
  </si>
  <si>
    <t>9123380</t>
  </si>
  <si>
    <t>0000608918</t>
  </si>
  <si>
    <t>HP-M42490-161</t>
  </si>
  <si>
    <t>HP-M42490-161CUBIERTA SUPERIOR SPS</t>
  </si>
  <si>
    <t>2001446540</t>
  </si>
  <si>
    <t>9155540</t>
  </si>
  <si>
    <t>0000612250</t>
  </si>
  <si>
    <t>2001452938</t>
  </si>
  <si>
    <t>273335</t>
  </si>
  <si>
    <t>FEB29867</t>
  </si>
  <si>
    <t>9153964</t>
  </si>
  <si>
    <t>JC91-01238A</t>
  </si>
  <si>
    <t>2001458514</t>
  </si>
  <si>
    <t>0000612265</t>
  </si>
  <si>
    <t>2001452955</t>
  </si>
  <si>
    <t>ESW25-1TB250400</t>
  </si>
  <si>
    <t>SI-273996</t>
  </si>
  <si>
    <t>SI-273073</t>
  </si>
  <si>
    <t>0000609484</t>
  </si>
  <si>
    <t>2001446647</t>
  </si>
  <si>
    <t>2026-00531</t>
  </si>
  <si>
    <t>SI-274125</t>
  </si>
  <si>
    <t>9096349</t>
  </si>
  <si>
    <t>HP-3PZ15-67964</t>
  </si>
  <si>
    <t>2001458511</t>
  </si>
  <si>
    <t>2F50030450082</t>
  </si>
  <si>
    <t>0000609456</t>
  </si>
  <si>
    <t>2001446412</t>
  </si>
  <si>
    <t>0000608915</t>
  </si>
  <si>
    <t>2001446539</t>
  </si>
  <si>
    <t>9151597</t>
  </si>
  <si>
    <t>M51J7</t>
  </si>
  <si>
    <t>SI-274246</t>
  </si>
  <si>
    <t>2F50050450083</t>
  </si>
  <si>
    <t>15201055</t>
  </si>
  <si>
    <t>0000609486</t>
  </si>
  <si>
    <t>2001446673</t>
  </si>
  <si>
    <t>0000609497</t>
  </si>
  <si>
    <t>2001446748</t>
  </si>
  <si>
    <t>0000609482</t>
  </si>
  <si>
    <t>2001446642</t>
  </si>
  <si>
    <t>0000609485</t>
  </si>
  <si>
    <t>2001446672</t>
  </si>
  <si>
    <t>0000609487</t>
  </si>
  <si>
    <t>2001446674</t>
  </si>
  <si>
    <t>0000609493</t>
  </si>
  <si>
    <t>2001446704</t>
  </si>
  <si>
    <t>0000609465</t>
  </si>
  <si>
    <t>2001446446</t>
  </si>
  <si>
    <t>0000609467</t>
  </si>
  <si>
    <t>2001446465</t>
  </si>
  <si>
    <t>0000606545</t>
  </si>
  <si>
    <t>2001441230</t>
  </si>
  <si>
    <t>0000608914</t>
  </si>
  <si>
    <t>2001446529</t>
  </si>
  <si>
    <t>0000608924</t>
  </si>
  <si>
    <t>2001446536</t>
  </si>
  <si>
    <t>07-A-50</t>
  </si>
  <si>
    <t>9149099</t>
  </si>
  <si>
    <t>0K5XT4</t>
  </si>
  <si>
    <t>2001458512</t>
  </si>
  <si>
    <t>2F50020450081</t>
  </si>
  <si>
    <t>ESWS48G32-2504-</t>
  </si>
  <si>
    <t>1025522</t>
  </si>
  <si>
    <t>ESWU532G56-2504</t>
  </si>
  <si>
    <t>ESWU48G32-2504-</t>
  </si>
  <si>
    <t>ESW25-120G25040</t>
  </si>
  <si>
    <t>ESW25-240GB2504</t>
  </si>
  <si>
    <t>ESW25-256GB2504</t>
  </si>
  <si>
    <t>ESW25-2TB250400</t>
  </si>
  <si>
    <t>ESW25-480GB2504</t>
  </si>
  <si>
    <t>ESW25-512GB2504</t>
  </si>
  <si>
    <t>ESWM2NV3-256GB-</t>
  </si>
  <si>
    <t>ESWM2NV4-2TB-00</t>
  </si>
  <si>
    <t>0000612279</t>
  </si>
  <si>
    <t>2001452980</t>
  </si>
  <si>
    <t>SI-273489</t>
  </si>
  <si>
    <t>0000609459</t>
  </si>
  <si>
    <t>2001446422</t>
  </si>
  <si>
    <t>9091768</t>
  </si>
  <si>
    <t>HP-RM2-5741-000</t>
  </si>
  <si>
    <t>HP-RM2-5741-000CONJUNTO DEL RODILLO</t>
  </si>
  <si>
    <t>2001458510</t>
  </si>
  <si>
    <t>2001458513</t>
  </si>
  <si>
    <t>2001449647</t>
  </si>
  <si>
    <t>3300019293</t>
  </si>
  <si>
    <t>0000612291</t>
  </si>
  <si>
    <t>2001452950</t>
  </si>
  <si>
    <t>0000609479</t>
  </si>
  <si>
    <t>2001446616</t>
  </si>
  <si>
    <t>0000609496</t>
  </si>
  <si>
    <t>2001446746</t>
  </si>
  <si>
    <t>0000609498</t>
  </si>
  <si>
    <t>2001446753</t>
  </si>
  <si>
    <t>0000609500</t>
  </si>
  <si>
    <t>2001446757</t>
  </si>
  <si>
    <t>0000609481</t>
  </si>
  <si>
    <t>2001446638</t>
  </si>
  <si>
    <t>0000609483</t>
  </si>
  <si>
    <t>2001446646</t>
  </si>
  <si>
    <t>0000609501</t>
  </si>
  <si>
    <t>2001447174</t>
  </si>
  <si>
    <t>0000609457</t>
  </si>
  <si>
    <t>2001446420</t>
  </si>
  <si>
    <t>0000609458</t>
  </si>
  <si>
    <t>2001446421</t>
  </si>
  <si>
    <t>0000609474</t>
  </si>
  <si>
    <t>2001446500</t>
  </si>
  <si>
    <t>0000609472</t>
  </si>
  <si>
    <t>2001446492</t>
  </si>
  <si>
    <t>0000609489</t>
  </si>
  <si>
    <t>2001446696</t>
  </si>
  <si>
    <t>0000609491</t>
  </si>
  <si>
    <t>2001446698</t>
  </si>
  <si>
    <t>SI-274028</t>
  </si>
  <si>
    <t>0000609499</t>
  </si>
  <si>
    <t>2001446756</t>
  </si>
  <si>
    <t>0000609455</t>
  </si>
  <si>
    <t>2001446409</t>
  </si>
  <si>
    <t>0000609473</t>
  </si>
  <si>
    <t>2001446497</t>
  </si>
  <si>
    <t>0000609471</t>
  </si>
  <si>
    <t>2001446490</t>
  </si>
  <si>
    <t>0000609463</t>
  </si>
  <si>
    <t>2001446441</t>
  </si>
  <si>
    <t>JH20260203</t>
  </si>
  <si>
    <t>0000609488</t>
  </si>
  <si>
    <t>2001446694</t>
  </si>
  <si>
    <t>0000608922</t>
  </si>
  <si>
    <t>2001446526</t>
  </si>
  <si>
    <t>0000609480</t>
  </si>
  <si>
    <t>2001446636</t>
  </si>
  <si>
    <t>0000606542</t>
  </si>
  <si>
    <t>2001441248</t>
  </si>
  <si>
    <t>0000609478</t>
  </si>
  <si>
    <t>2001446614</t>
  </si>
  <si>
    <t>0000609495</t>
  </si>
  <si>
    <t>2001446707</t>
  </si>
  <si>
    <t>0000609476</t>
  </si>
  <si>
    <t>2001446592</t>
  </si>
  <si>
    <t>9089763</t>
  </si>
  <si>
    <t>0000606517</t>
  </si>
  <si>
    <t>201432P CF258X BLACK TONER</t>
  </si>
  <si>
    <t>2001441254</t>
  </si>
  <si>
    <t>0000609460</t>
  </si>
  <si>
    <t>2001446428</t>
  </si>
  <si>
    <t>0000609469</t>
  </si>
  <si>
    <t>2001446478</t>
  </si>
  <si>
    <t>0000609461</t>
  </si>
  <si>
    <t>2001446431</t>
  </si>
  <si>
    <t>0000609470</t>
  </si>
  <si>
    <t>2001446480</t>
  </si>
  <si>
    <t>0000609468</t>
  </si>
  <si>
    <t>2001446469</t>
  </si>
  <si>
    <t>0000609490</t>
  </si>
  <si>
    <t>2001446697</t>
  </si>
  <si>
    <t>2F50020350071</t>
  </si>
  <si>
    <t>0000609477</t>
  </si>
  <si>
    <t>2001446609</t>
  </si>
  <si>
    <t>0000609494</t>
  </si>
  <si>
    <t>2001446705</t>
  </si>
  <si>
    <t>0000609462</t>
  </si>
  <si>
    <t>2001446434</t>
  </si>
  <si>
    <t>2F500504</t>
  </si>
  <si>
    <t>0000608926</t>
  </si>
  <si>
    <t>2001446525</t>
  </si>
  <si>
    <t>0000609475</t>
  </si>
  <si>
    <t>2001446589</t>
  </si>
  <si>
    <t>0000609466</t>
  </si>
  <si>
    <t>2001446460</t>
  </si>
  <si>
    <t>0000609464</t>
  </si>
  <si>
    <t>2001446443</t>
  </si>
  <si>
    <t>0000608931</t>
  </si>
  <si>
    <t>2001446543</t>
  </si>
  <si>
    <t>0000609492</t>
  </si>
  <si>
    <t>2001446702</t>
  </si>
  <si>
    <t>903514387</t>
  </si>
  <si>
    <t>9057693</t>
  </si>
  <si>
    <t>SI-274471</t>
  </si>
  <si>
    <t>HP-RM2-6455-000</t>
  </si>
  <si>
    <t>HP-RM2-6455-000 - SECONDARY TRANSFE</t>
  </si>
  <si>
    <t>2001459311</t>
  </si>
  <si>
    <t>0000619316</t>
  </si>
  <si>
    <t>2001471026</t>
  </si>
  <si>
    <t>HAWB22347</t>
  </si>
  <si>
    <t>2001459323</t>
  </si>
  <si>
    <t>0000619323</t>
  </si>
  <si>
    <t>2001471025</t>
  </si>
  <si>
    <t>9026378</t>
  </si>
  <si>
    <t>0000621984</t>
  </si>
  <si>
    <t>B3M77A MAINT KIT ENTER 120V M630z,MFP M6</t>
  </si>
  <si>
    <t>2001474272</t>
  </si>
  <si>
    <t>HAWB22357</t>
  </si>
  <si>
    <t>SI-274637</t>
  </si>
  <si>
    <t>9129056</t>
  </si>
  <si>
    <t>0000622009</t>
  </si>
  <si>
    <t>LEX-41X1169</t>
  </si>
  <si>
    <t>2001474275</t>
  </si>
  <si>
    <t>9156755</t>
  </si>
  <si>
    <t>0000621988</t>
  </si>
  <si>
    <t>HP-C0M44-67002</t>
  </si>
  <si>
    <t>2001474280</t>
  </si>
  <si>
    <t>9027715</t>
  </si>
  <si>
    <t>0000619319</t>
  </si>
  <si>
    <t>LEX-40X9137B</t>
  </si>
  <si>
    <t>LEX-40X9137B 110V MAINTENANCE KIT</t>
  </si>
  <si>
    <t>2001471014</t>
  </si>
  <si>
    <t>2001459327</t>
  </si>
  <si>
    <t>2001459330</t>
  </si>
  <si>
    <t>9130574</t>
  </si>
  <si>
    <t>0000621999</t>
  </si>
  <si>
    <t>HP-N96535-001</t>
  </si>
  <si>
    <t>2001474294</t>
  </si>
  <si>
    <t>9101489</t>
  </si>
  <si>
    <t>0000619310</t>
  </si>
  <si>
    <t>HP-N01283-001</t>
  </si>
  <si>
    <t>HP-N01283-001SPS-CABLE KIT LCD AMBI</t>
  </si>
  <si>
    <t>2001471039</t>
  </si>
  <si>
    <t>SI-274580</t>
  </si>
  <si>
    <t>9129118</t>
  </si>
  <si>
    <t>0000619309</t>
  </si>
  <si>
    <t>HP-N00104-001</t>
  </si>
  <si>
    <t>2001471034</t>
  </si>
  <si>
    <t>9090718</t>
  </si>
  <si>
    <t>0000622012</t>
  </si>
  <si>
    <t>LEX-41X1627</t>
  </si>
  <si>
    <t>LEX-41X1627 CONJUNTO DE PANTALLA DE</t>
  </si>
  <si>
    <t>2001474276</t>
  </si>
  <si>
    <t>0001983687</t>
  </si>
  <si>
    <t>ZID</t>
  </si>
  <si>
    <t>F COMPONEN</t>
  </si>
  <si>
    <t>2001477229</t>
  </si>
  <si>
    <t>0001986994</t>
  </si>
  <si>
    <t>9062886</t>
  </si>
  <si>
    <t>0000624212</t>
  </si>
  <si>
    <t>CF064A-LP</t>
  </si>
  <si>
    <t>2001478051</t>
  </si>
  <si>
    <t>0001988251</t>
  </si>
  <si>
    <t>HAWB22364</t>
  </si>
  <si>
    <t>SI-274673</t>
  </si>
  <si>
    <t>0000624264</t>
  </si>
  <si>
    <t>2001478052</t>
  </si>
  <si>
    <t>0001988253</t>
  </si>
  <si>
    <t>9036339</t>
  </si>
  <si>
    <t>0000624214</t>
  </si>
  <si>
    <t>HP-B4H70-67026</t>
  </si>
  <si>
    <t>2001478057</t>
  </si>
  <si>
    <t>0001988263</t>
  </si>
  <si>
    <t>0000624257</t>
  </si>
  <si>
    <t>2001478058</t>
  </si>
  <si>
    <t>0001988265</t>
  </si>
  <si>
    <t>9157133</t>
  </si>
  <si>
    <t>0000624222</t>
  </si>
  <si>
    <t>HP-N00113-001</t>
  </si>
  <si>
    <t>2001478062</t>
  </si>
  <si>
    <t>0001988273</t>
  </si>
  <si>
    <t>9155142</t>
  </si>
  <si>
    <t>0000624209</t>
  </si>
  <si>
    <t>5PN66A</t>
  </si>
  <si>
    <t>2001478063</t>
  </si>
  <si>
    <t>0001988275</t>
  </si>
  <si>
    <t>9157129</t>
  </si>
  <si>
    <t>0000624226</t>
  </si>
  <si>
    <t>HP-N10800-001</t>
  </si>
  <si>
    <t>2001478065</t>
  </si>
  <si>
    <t>0001988279</t>
  </si>
  <si>
    <t>9039625</t>
  </si>
  <si>
    <t>0000624216</t>
  </si>
  <si>
    <t>HP-L44548-001</t>
  </si>
  <si>
    <t>HP-L44548-001-SPS-TOP COVE</t>
  </si>
  <si>
    <t>2001478071</t>
  </si>
  <si>
    <t>0001988291</t>
  </si>
  <si>
    <t>9157131</t>
  </si>
  <si>
    <t>0000624228</t>
  </si>
  <si>
    <t>HP-N93898-001</t>
  </si>
  <si>
    <t>2001478073</t>
  </si>
  <si>
    <t>0001988295</t>
  </si>
  <si>
    <t>0000624221</t>
  </si>
  <si>
    <t>2001478074</t>
  </si>
  <si>
    <t>0001988297</t>
  </si>
  <si>
    <t>0000617310</t>
  </si>
  <si>
    <t>2001464790</t>
  </si>
  <si>
    <t>HAWB22333</t>
  </si>
  <si>
    <t>SI-274513</t>
  </si>
  <si>
    <t>0000619296</t>
  </si>
  <si>
    <t>2001471019</t>
  </si>
  <si>
    <t>9096647</t>
  </si>
  <si>
    <t>0000622014</t>
  </si>
  <si>
    <t>LEX-41X2667</t>
  </si>
  <si>
    <t>LEX-41X2667MS62X SVC BANDERA ESTREC</t>
  </si>
  <si>
    <t>2001474305</t>
  </si>
  <si>
    <t>0000622013</t>
  </si>
  <si>
    <t>2001474278</t>
  </si>
  <si>
    <t>9093563</t>
  </si>
  <si>
    <t>0000622011</t>
  </si>
  <si>
    <t>LEX-41X1185</t>
  </si>
  <si>
    <t>LEX-41X1185Cabezales de impresión l</t>
  </si>
  <si>
    <t>2001474277</t>
  </si>
  <si>
    <t>2001471355</t>
  </si>
  <si>
    <t>0000619314</t>
  </si>
  <si>
    <t>2001471016</t>
  </si>
  <si>
    <t>2001459343</t>
  </si>
  <si>
    <t>9157210</t>
  </si>
  <si>
    <t>2001459329</t>
  </si>
  <si>
    <t>9026815</t>
  </si>
  <si>
    <t>0000619324</t>
  </si>
  <si>
    <t>2001471013</t>
  </si>
  <si>
    <t>0000617330</t>
  </si>
  <si>
    <t>2001464792</t>
  </si>
  <si>
    <t>9036459</t>
  </si>
  <si>
    <t>0000624267</t>
  </si>
  <si>
    <t>RM1-8508-LP</t>
  </si>
  <si>
    <t>RM1-8508-LP FUSER ASSEMBLY 110V/220V</t>
  </si>
  <si>
    <t>2001478053</t>
  </si>
  <si>
    <t>0001988255</t>
  </si>
  <si>
    <t>9031154</t>
  </si>
  <si>
    <t>0000624213</t>
  </si>
  <si>
    <t>F2G76-67901LP</t>
  </si>
  <si>
    <t>2001478054</t>
  </si>
  <si>
    <t>0001988257</t>
  </si>
  <si>
    <t>9157132</t>
  </si>
  <si>
    <t>0000624217</t>
  </si>
  <si>
    <t>HP-L46598-001</t>
  </si>
  <si>
    <t>2001478059</t>
  </si>
  <si>
    <t>0001988267</t>
  </si>
  <si>
    <t>9154337</t>
  </si>
  <si>
    <t>0000624218</t>
  </si>
  <si>
    <t>HP-L46598-002</t>
  </si>
  <si>
    <t>2001478060</t>
  </si>
  <si>
    <t>0001988269</t>
  </si>
  <si>
    <t>FEB30129</t>
  </si>
  <si>
    <t>2001473286</t>
  </si>
  <si>
    <t>2001459339</t>
  </si>
  <si>
    <t>0000621987</t>
  </si>
  <si>
    <t>2001474309</t>
  </si>
  <si>
    <t>0000617314</t>
  </si>
  <si>
    <t>2001464787</t>
  </si>
  <si>
    <t>9156109</t>
  </si>
  <si>
    <t>0000619308</t>
  </si>
  <si>
    <t>HP-M78956-161</t>
  </si>
  <si>
    <t>2001471029</t>
  </si>
  <si>
    <t>08-A-50</t>
  </si>
  <si>
    <t>0000621993</t>
  </si>
  <si>
    <t>2001474300</t>
  </si>
  <si>
    <t>9095874</t>
  </si>
  <si>
    <t>0000624223</t>
  </si>
  <si>
    <t>HP-N01272-601</t>
  </si>
  <si>
    <t>HP-N01272-601PLACA MADRE/ TARJETA D</t>
  </si>
  <si>
    <t>2001478066</t>
  </si>
  <si>
    <t>0001988281</t>
  </si>
  <si>
    <t>0000621977</t>
  </si>
  <si>
    <t>2001474269</t>
  </si>
  <si>
    <t>2001459331</t>
  </si>
  <si>
    <t>2001459332</t>
  </si>
  <si>
    <t>9154036</t>
  </si>
  <si>
    <t>J8J95A-LP</t>
  </si>
  <si>
    <t>2001460466</t>
  </si>
  <si>
    <t>9130207</t>
  </si>
  <si>
    <t>0000621995</t>
  </si>
  <si>
    <t>2001474293</t>
  </si>
  <si>
    <t>2001459326</t>
  </si>
  <si>
    <t>0000619311</t>
  </si>
  <si>
    <t>2001471024</t>
  </si>
  <si>
    <t>0000621976</t>
  </si>
  <si>
    <t>2001474270</t>
  </si>
  <si>
    <t>0000621974</t>
  </si>
  <si>
    <t>2001474268</t>
  </si>
  <si>
    <t>9028715</t>
  </si>
  <si>
    <t>0000619317</t>
  </si>
  <si>
    <t>J8J87A-LP H.P LJ ENTERPRISE MFP M631DN/M</t>
  </si>
  <si>
    <t>2001471023</t>
  </si>
  <si>
    <t>0000621978</t>
  </si>
  <si>
    <t>2001474267</t>
  </si>
  <si>
    <t>0000621975</t>
  </si>
  <si>
    <t>2001474310</t>
  </si>
  <si>
    <t>0000617335</t>
  </si>
  <si>
    <t>2001464786</t>
  </si>
  <si>
    <t>0000624230</t>
  </si>
  <si>
    <t>2001478056</t>
  </si>
  <si>
    <t>0001988261</t>
  </si>
  <si>
    <t>SERVICE ADF</t>
  </si>
  <si>
    <t>KIT DE MANTENIMIENTO COMPATIBLE HP M601/</t>
  </si>
  <si>
    <t>-2</t>
  </si>
  <si>
    <t>KIT-TRAY 2 SEPERATION ROLLER</t>
  </si>
  <si>
    <t>KIT DE MANTENIMIENTO COMPATIBLE HP M604/</t>
  </si>
  <si>
    <t>199</t>
  </si>
  <si>
    <t>SPS-TOP COVER W/KB CP US</t>
  </si>
  <si>
    <t>SPS-TOP COVER W/KBD nSDC CP BL SR LTNA</t>
  </si>
  <si>
    <t>SPS-PLASTIC MISC KIT</t>
  </si>
  <si>
    <t>BACK COVER 3MM WITHANTENNA nWIRELESS WIDE AREA NETWORK</t>
  </si>
  <si>
    <t>SKO-MEM 8GB 3200MHz 1.2v DDR4 SHARED</t>
  </si>
  <si>
    <t>36</t>
  </si>
  <si>
    <t>MAINTENANCE KIT 110V M630</t>
  </si>
  <si>
    <t>B4H70-67026</t>
  </si>
  <si>
    <t>Belt and tensioner with meta</t>
  </si>
  <si>
    <t>58</t>
  </si>
  <si>
    <t>56</t>
  </si>
  <si>
    <t>TONER NEGRO MLT-D201L SAM M4030 - 20K</t>
  </si>
  <si>
    <t>HP LASERJET TRAYS 2-X ROLLER KIT</t>
  </si>
  <si>
    <t>CONTROL PANEL DISPLAY ASSY</t>
  </si>
  <si>
    <t>MS62X SVC FLAG NARROW MEDIA/BIN FULL FLA</t>
  </si>
  <si>
    <t>MX61x Fuser Maintenance Kit, 110-120V</t>
  </si>
  <si>
    <t>MX62x SVC Laser Printheads Laser scannin</t>
  </si>
  <si>
    <t>MX52x SVC Cover Rear door and cover 250</t>
  </si>
  <si>
    <t>FUSER ASSEMBLY 110V/220V</t>
  </si>
  <si>
    <t>VENTILADOR DE REFRIGERACION DE CPU DE REPUESTO PARA DELL OPTIPLEX 7460 5260 5270 7470 7490 7760 7770</t>
  </si>
  <si>
    <t>MOTHERBOARD DELL LATITUDE 5420</t>
  </si>
  <si>
    <t>BACK COVER WITHANTENNA WIRELESS LOCAL AREA NETWORK 300N</t>
  </si>
  <si>
    <t>SPS-BACK COVER 300n/TOP WLAN</t>
  </si>
  <si>
    <t>TOP COVER W/KEYBOARD US</t>
  </si>
  <si>
    <t>SPS-CABLE KIT LCD AMBIENT LIGHT SENSOR</t>
  </si>
  <si>
    <t>MOTHERBOARD/ SYSTEM BOARD UMA i5-1235U WINDOWS</t>
  </si>
  <si>
    <t>SPS-WEBCAM Integrated 5M PON440 G9 AIO</t>
  </si>
  <si>
    <t>17</t>
  </si>
  <si>
    <t>OPTIONAL TRAY 3 PAPER PICK-UP ROLLER ASS</t>
  </si>
  <si>
    <t>ADF ROLLER REPLACEMENT KIT -</t>
  </si>
  <si>
    <t>-10</t>
  </si>
  <si>
    <t>HP - FUSER, 110V</t>
  </si>
  <si>
    <t>KIT DE MANTENIMIENTO COMPATIBLE HP M607/</t>
  </si>
  <si>
    <t>200</t>
  </si>
  <si>
    <t>Secondary transfer roller assembly</t>
  </si>
  <si>
    <t>59</t>
  </si>
  <si>
    <t>TECLADO DELL LATITUDE 5420</t>
  </si>
  <si>
    <t>34</t>
  </si>
  <si>
    <t>29</t>
  </si>
  <si>
    <t xml:space="preserve"> </t>
  </si>
  <si>
    <t>2001479099</t>
  </si>
  <si>
    <t>9157320</t>
  </si>
  <si>
    <t>FEQ9568</t>
  </si>
  <si>
    <t>200892LPB-CL</t>
  </si>
  <si>
    <t>2001479225</t>
  </si>
  <si>
    <t>0001989020</t>
  </si>
  <si>
    <t>9086394</t>
  </si>
  <si>
    <t>LEX-41X2233 FUSER MAINTENANCE KIT,</t>
  </si>
  <si>
    <t>2001479014</t>
  </si>
  <si>
    <t>User : KB                            Printed : 3/31/2026                  Time : 10:32:19</t>
  </si>
  <si>
    <t>53</t>
  </si>
  <si>
    <t>46</t>
  </si>
  <si>
    <t>HP M402 CF226X TONER NEGRO 9K</t>
  </si>
  <si>
    <t>ajuste pendiente AJUSTE LATIN PARTS  ERROR EN INGRESO cruce 27.02.2026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</si>
</sst>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-* #,##0.00\ &quot;€&quot;_-;\-* #,##0.00\ &quot;€&quot;_-;_-* &quot;-&quot;??\ &quot;€&quot;_-;_-@_-"/>
    <numFmt numFmtId="166" formatCode="_(&quot;$&quot;\ * #,##0.00_);_(&quot;$&quot;\ * \(#,##0.00\);_(&quot;$&quot;\ * &quot;-&quot;??_);_(@_)"/>
  </numFmts>
  <fonts count="30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2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8" fillId="3" borderId="0" applyNumberFormat="0" applyBorder="0" applyAlignment="0" applyProtection="0"/>
    <xf numFmtId="0" fontId="21" fillId="4" borderId="0" applyNumberFormat="0" applyBorder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6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9" fillId="0" borderId="0"/>
    <xf numFmtId="0" fontId="19" fillId="0" borderId="0"/>
    <xf numFmtId="0" fontId="1" fillId="0" borderId="0"/>
    <xf numFmtId="0" fontId="20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9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2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73">
    <xf numFmtId="0" fontId="19" fillId="0" borderId="0" xfId="0" applyFont="1"/>
    <xf numFmtId="0" fontId="19" fillId="0" borderId="0" xfId="0" pivotButton="1" applyFont="1"/>
    <xf numFmtId="0" fontId="19" fillId="0" borderId="0" xfId="0" applyFont="1" applyAlignment="1">
      <alignment horizontal="left"/>
    </xf>
    <xf numFmtId="3" fontId="19" fillId="0" borderId="0" xfId="0" applyNumberFormat="1" applyFont="1"/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/>
    <xf numFmtId="0" fontId="24" fillId="38" borderId="12" xfId="0" applyFont="1" applyFill="1" applyBorder="1"/>
    <xf numFmtId="0" fontId="0" fillId="0" borderId="0" xfId="0"/>
    <xf numFmtId="0" fontId="0" fillId="39" borderId="0" xfId="0" applyFill="1"/>
    <xf numFmtId="0" fontId="0" fillId="37" borderId="0" xfId="0" applyFill="1"/>
    <xf numFmtId="14" fontId="0" fillId="0" borderId="0" xfId="0" applyNumberFormat="1"/>
    <xf numFmtId="14" fontId="0" fillId="39" borderId="0" xfId="0" applyNumberFormat="1" applyFill="1"/>
    <xf numFmtId="14" fontId="0" fillId="37" borderId="0" xfId="0" applyNumberFormat="1" applyFill="1"/>
    <xf numFmtId="14" fontId="19" fillId="39" borderId="0" xfId="0" applyNumberFormat="1" applyFont="1" applyFill="1" applyAlignment="1">
      <alignment horizontal="left"/>
    </xf>
    <xf numFmtId="3" fontId="19" fillId="39" borderId="0" xfId="0" applyNumberFormat="1" applyFont="1" applyFill="1"/>
    <xf numFmtId="14" fontId="19" fillId="0" borderId="0" xfId="0" applyNumberFormat="1" applyFont="1" applyAlignment="1">
      <alignment horizontal="left"/>
    </xf>
    <xf numFmtId="0" fontId="19" fillId="34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41" borderId="10" xfId="0" applyFont="1" applyFill="1" applyBorder="1" applyAlignment="1">
      <alignment horizontal="center" vertical="center"/>
    </xf>
    <xf numFmtId="0" fontId="0" fillId="40" borderId="10" xfId="0" applyFill="1" applyBorder="1"/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19" fillId="37" borderId="10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22" xfId="0" applyFont="1" applyBorder="1" applyAlignment="1">
      <alignment horizontal="left" vertical="top" wrapText="1"/>
    </xf>
    <xf numFmtId="0" fontId="28" fillId="0" borderId="14" xfId="0" applyFont="1" applyBorder="1" applyAlignment="1">
      <alignment horizontal="left" vertical="top" wrapText="1"/>
    </xf>
    <xf numFmtId="0" fontId="28" fillId="0" borderId="14" xfId="0" applyFont="1" applyBorder="1" applyAlignment="1">
      <alignment horizontal="right" vertical="top" wrapText="1"/>
    </xf>
    <xf numFmtId="0" fontId="28" fillId="0" borderId="14" xfId="0" applyFont="1" applyBorder="1" applyAlignment="1">
      <alignment horizontal="center" vertical="top" wrapText="1"/>
    </xf>
    <xf numFmtId="4" fontId="28" fillId="0" borderId="14" xfId="0" applyNumberFormat="1" applyFont="1" applyBorder="1" applyAlignment="1">
      <alignment horizontal="right" vertical="top" wrapText="1"/>
    </xf>
    <xf numFmtId="4" fontId="28" fillId="0" borderId="15" xfId="0" applyNumberFormat="1" applyFont="1" applyBorder="1" applyAlignment="1">
      <alignment horizontal="right" vertical="top" wrapText="1"/>
    </xf>
    <xf numFmtId="0" fontId="29" fillId="0" borderId="23" xfId="0" applyFont="1" applyBorder="1" applyAlignment="1">
      <alignment horizontal="left" vertical="top" wrapText="1"/>
    </xf>
    <xf numFmtId="0" fontId="29" fillId="0" borderId="17" xfId="0" applyFont="1" applyBorder="1" applyAlignment="1">
      <alignment horizontal="left" vertical="top" wrapText="1"/>
    </xf>
    <xf numFmtId="0" fontId="29" fillId="0" borderId="17" xfId="0" applyFont="1" applyBorder="1" applyAlignment="1">
      <alignment horizontal="right" vertical="top" wrapText="1"/>
    </xf>
    <xf numFmtId="0" fontId="29" fillId="0" borderId="17" xfId="0" applyFont="1" applyBorder="1" applyAlignment="1">
      <alignment horizontal="center" vertical="top" wrapText="1"/>
    </xf>
    <xf numFmtId="4" fontId="29" fillId="0" borderId="17" xfId="0" applyNumberFormat="1" applyFont="1" applyBorder="1" applyAlignment="1">
      <alignment horizontal="right" vertical="top" wrapText="1"/>
    </xf>
    <xf numFmtId="4" fontId="29" fillId="0" borderId="18" xfId="0" applyNumberFormat="1" applyFont="1" applyBorder="1" applyAlignment="1">
      <alignment horizontal="right" vertical="top" wrapText="1"/>
    </xf>
    <xf numFmtId="0" fontId="29" fillId="0" borderId="24" xfId="0" applyFont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horizontal="right" vertical="top" wrapText="1"/>
    </xf>
    <xf numFmtId="0" fontId="29" fillId="0" borderId="0" xfId="0" applyFont="1" applyAlignment="1">
      <alignment horizontal="center" vertical="top" wrapText="1"/>
    </xf>
    <xf numFmtId="4" fontId="29" fillId="0" borderId="0" xfId="0" applyNumberFormat="1" applyFont="1" applyAlignment="1">
      <alignment horizontal="right" vertical="top" wrapText="1"/>
    </xf>
    <xf numFmtId="4" fontId="29" fillId="0" borderId="25" xfId="0" applyNumberFormat="1" applyFont="1" applyBorder="1" applyAlignment="1">
      <alignment horizontal="right" vertical="top" wrapText="1"/>
    </xf>
    <xf numFmtId="0" fontId="29" fillId="0" borderId="26" xfId="0" applyFont="1" applyBorder="1" applyAlignment="1">
      <alignment horizontal="left" vertical="top" wrapText="1"/>
    </xf>
    <xf numFmtId="0" fontId="29" fillId="0" borderId="20" xfId="0" applyFont="1" applyBorder="1" applyAlignment="1">
      <alignment horizontal="left" vertical="top" wrapText="1"/>
    </xf>
    <xf numFmtId="0" fontId="29" fillId="0" borderId="20" xfId="0" applyFont="1" applyBorder="1" applyAlignment="1">
      <alignment horizontal="right" vertical="top" wrapText="1"/>
    </xf>
    <xf numFmtId="0" fontId="29" fillId="0" borderId="20" xfId="0" applyFont="1" applyBorder="1" applyAlignment="1">
      <alignment horizontal="center" vertical="top" wrapText="1"/>
    </xf>
    <xf numFmtId="4" fontId="29" fillId="0" borderId="20" xfId="0" applyNumberFormat="1" applyFont="1" applyBorder="1" applyAlignment="1">
      <alignment horizontal="right" vertical="top" wrapText="1"/>
    </xf>
    <xf numFmtId="4" fontId="29" fillId="0" borderId="21" xfId="0" applyNumberFormat="1" applyFont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left" vertical="top"/>
    </xf>
    <xf numFmtId="0" fontId="26" fillId="0" borderId="17" xfId="0" applyFont="1" applyBorder="1" applyAlignment="1">
      <alignment horizontal="left" vertical="top"/>
    </xf>
    <xf numFmtId="0" fontId="26" fillId="0" borderId="18" xfId="0" applyFont="1" applyBorder="1" applyAlignment="1">
      <alignment horizontal="left" vertical="top"/>
    </xf>
    <xf numFmtId="0" fontId="26" fillId="0" borderId="19" xfId="0" applyFont="1" applyBorder="1" applyAlignment="1">
      <alignment horizontal="left" vertical="top"/>
    </xf>
    <xf numFmtId="0" fontId="26" fillId="0" borderId="20" xfId="0" applyFont="1" applyBorder="1" applyAlignment="1">
      <alignment horizontal="left" vertical="top"/>
    </xf>
    <xf numFmtId="0" fontId="26" fillId="0" borderId="21" xfId="0" applyFont="1" applyBorder="1" applyAlignment="1">
      <alignment horizontal="left" vertical="top"/>
    </xf>
    <xf numFmtId="0" fontId="27" fillId="0" borderId="13" xfId="0" applyFont="1" applyBorder="1" applyAlignment="1">
      <alignment horizontal="center" vertical="top"/>
    </xf>
    <xf numFmtId="0" fontId="27" fillId="0" borderId="14" xfId="0" applyFont="1" applyBorder="1" applyAlignment="1">
      <alignment horizontal="center" vertical="top"/>
    </xf>
    <xf numFmtId="0" fontId="27" fillId="0" borderId="15" xfId="0" applyFont="1" applyBorder="1" applyAlignment="1">
      <alignment horizontal="center" vertical="top"/>
    </xf>
    <xf numFmtId="0" fontId="25" fillId="0" borderId="13" xfId="0" applyFont="1" applyBorder="1" applyAlignment="1">
      <alignment horizontal="center" vertical="top"/>
    </xf>
    <xf numFmtId="0" fontId="25" fillId="0" borderId="14" xfId="0" applyFont="1" applyBorder="1" applyAlignment="1">
      <alignment horizontal="center" vertical="top"/>
    </xf>
    <xf numFmtId="0" fontId="25" fillId="0" borderId="15" xfId="0" applyFont="1" applyBorder="1" applyAlignment="1">
      <alignment horizontal="center" vertical="top"/>
    </xf>
  </cellXfs>
  <cellStyles count="172">
    <cellStyle name="20% - Accent1" xfId="52" xr:uid="{FE28895A-B200-412F-B070-CF1E736C7624}"/>
    <cellStyle name="20% - Accent2" xfId="56" xr:uid="{9D2FABF0-727B-4D98-BA82-0F879ED63A14}"/>
    <cellStyle name="20% - Accent3" xfId="60" xr:uid="{94E8D081-B0D1-405B-8F10-D39C30621B74}"/>
    <cellStyle name="20% - Accent4" xfId="64" xr:uid="{8C8F3A0A-5CB3-40FE-A8B1-8BC8830CDC48}"/>
    <cellStyle name="20% - Accent5" xfId="68" xr:uid="{E93E7CD2-8A36-41D3-9518-110A75AC3979}"/>
    <cellStyle name="20% - Accent6" xfId="72" xr:uid="{530D8B6B-A72F-45C1-A64F-3837DC685A29}"/>
    <cellStyle name="20% - Énfasis1" xfId="19" builtinId="30" customBuiltin="1"/>
    <cellStyle name="20% - Énfasis1 2" xfId="82" xr:uid="{C2DA844B-FD5C-4ABA-AA12-DCE99B66AB33}"/>
    <cellStyle name="20% - Énfasis2" xfId="23" builtinId="34" customBuiltin="1"/>
    <cellStyle name="20% - Énfasis2 2" xfId="84" xr:uid="{56951CDC-E5D7-4D5C-96DE-AF91CDCEDA1B}"/>
    <cellStyle name="20% - Énfasis3" xfId="27" builtinId="38" customBuiltin="1"/>
    <cellStyle name="20% - Énfasis3 2" xfId="86" xr:uid="{E668A439-758F-430A-92D5-E07C2B54BB3C}"/>
    <cellStyle name="20% - Énfasis4" xfId="31" builtinId="42" customBuiltin="1"/>
    <cellStyle name="20% - Énfasis4 2" xfId="88" xr:uid="{150A5641-761C-4338-BE14-6D14BC415D9D}"/>
    <cellStyle name="20% - Énfasis5" xfId="35" builtinId="46" customBuiltin="1"/>
    <cellStyle name="20% - Énfasis5 2" xfId="90" xr:uid="{1006925A-C4B3-4F3E-91B8-B9156206BDEB}"/>
    <cellStyle name="20% - Énfasis6" xfId="39" builtinId="50" customBuiltin="1"/>
    <cellStyle name="20% - Énfasis6 2" xfId="92" xr:uid="{565E9524-D3FD-496E-8FA3-A517BB32DED4}"/>
    <cellStyle name="40% - Accent1" xfId="53" xr:uid="{9D83178D-6E28-4759-89F9-E1D21AF25346}"/>
    <cellStyle name="40% - Accent2" xfId="57" xr:uid="{BEFAE239-80C5-44D3-AE16-F6408E302967}"/>
    <cellStyle name="40% - Accent3" xfId="61" xr:uid="{DE96640D-9C99-46D8-BA4D-C9462C2BCA24}"/>
    <cellStyle name="40% - Accent4" xfId="65" xr:uid="{428B5527-C7C1-4B83-AF5E-D9C0AFA98F69}"/>
    <cellStyle name="40% - Accent5" xfId="69" xr:uid="{C15ADBF7-E28D-4EB8-B8FB-BE7769FAE3CD}"/>
    <cellStyle name="40% - Accent6" xfId="73" xr:uid="{092056CF-8DF7-4893-AA17-2B7E720A0C44}"/>
    <cellStyle name="40% - Énfasis1" xfId="20" builtinId="31" customBuiltin="1"/>
    <cellStyle name="40% - Énfasis1 2" xfId="83" xr:uid="{8434D07B-16A4-4543-9421-7DB9235325D3}"/>
    <cellStyle name="40% - Énfasis2" xfId="24" builtinId="35" customBuiltin="1"/>
    <cellStyle name="40% - Énfasis2 2" xfId="85" xr:uid="{BFE4E96F-FFC2-44CF-8135-7B6317EAA388}"/>
    <cellStyle name="40% - Énfasis3" xfId="28" builtinId="39" customBuiltin="1"/>
    <cellStyle name="40% - Énfasis3 2" xfId="87" xr:uid="{F6AB5D18-F95E-46BB-988A-3AA0502DBFD0}"/>
    <cellStyle name="40% - Énfasis4" xfId="32" builtinId="43" customBuiltin="1"/>
    <cellStyle name="40% - Énfasis4 2" xfId="89" xr:uid="{E7258761-6770-488E-A682-784D4EDB23A3}"/>
    <cellStyle name="40% - Énfasis5" xfId="36" builtinId="47" customBuiltin="1"/>
    <cellStyle name="40% - Énfasis5 2" xfId="91" xr:uid="{BE7FA685-981D-4EAD-9F49-625212B8D9CC}"/>
    <cellStyle name="40% - Énfasis6" xfId="40" builtinId="51" customBuiltin="1"/>
    <cellStyle name="40% - Énfasis6 2" xfId="93" xr:uid="{781E8E7E-8FBC-4742-932B-8C0B22F62BD8}"/>
    <cellStyle name="60% - Accent1" xfId="54" xr:uid="{09E73C44-034C-46DA-A471-0BF2DFF05F93}"/>
    <cellStyle name="60% - Accent2" xfId="58" xr:uid="{D902FD43-D260-40C2-9B80-DD281500EACB}"/>
    <cellStyle name="60% - Accent3" xfId="62" xr:uid="{92CADF55-F583-4F96-8EF2-8E25FAC61BD2}"/>
    <cellStyle name="60% - Accent4" xfId="66" xr:uid="{775E3CE6-EEFF-453B-B256-96EC3BBD7616}"/>
    <cellStyle name="60% - Accent5" xfId="70" xr:uid="{FA647FC4-27D8-4806-AF1E-2B0BD789A112}"/>
    <cellStyle name="60% - Accent6" xfId="74" xr:uid="{9A622053-5AE7-4E2F-82FF-C0ACF3A1A12E}"/>
    <cellStyle name="60% - Énfasis1" xfId="21" builtinId="32" customBuiltin="1"/>
    <cellStyle name="60% - Énfasis1 2" xfId="95" xr:uid="{B580F6A8-99DF-4DB4-A69A-EE46372A0498}"/>
    <cellStyle name="60% - Énfasis2" xfId="25" builtinId="36" customBuiltin="1"/>
    <cellStyle name="60% - Énfasis2 2" xfId="96" xr:uid="{935BB5F5-5CC3-44D7-8545-34C61B4B185A}"/>
    <cellStyle name="60% - Énfasis3" xfId="29" builtinId="40" customBuiltin="1"/>
    <cellStyle name="60% - Énfasis3 2" xfId="97" xr:uid="{DB4DED50-545F-4C58-8E7B-FCD20A947FE3}"/>
    <cellStyle name="60% - Énfasis4" xfId="33" builtinId="44" customBuiltin="1"/>
    <cellStyle name="60% - Énfasis4 2" xfId="98" xr:uid="{BD1A71B4-6AD0-4A9C-9C97-48B1C3A1B409}"/>
    <cellStyle name="60% - Énfasis5" xfId="37" builtinId="48" customBuiltin="1"/>
    <cellStyle name="60% - Énfasis5 2" xfId="99" xr:uid="{221127FD-4C99-42E2-9575-C7B377495A9B}"/>
    <cellStyle name="60% - Énfasis6" xfId="41" builtinId="52" customBuiltin="1"/>
    <cellStyle name="60% - Énfasis6 2" xfId="100" xr:uid="{275EEE27-E3E9-4671-BAE1-AE1F85E9B0CE}"/>
    <cellStyle name="Accent1" xfId="51" xr:uid="{EFF6FAD0-6E27-43A4-83F9-79B6CBB901DD}"/>
    <cellStyle name="Accent2" xfId="55" xr:uid="{F6EC5BA5-B7F8-4805-8465-73CE7329FDEC}"/>
    <cellStyle name="Accent3" xfId="59" xr:uid="{BE2169BC-F9B1-4BE9-81B2-D2E7859BA54A}"/>
    <cellStyle name="Accent4" xfId="63" xr:uid="{643E19A7-6D16-447D-9504-C245CE3CF482}"/>
    <cellStyle name="Accent5" xfId="67" xr:uid="{E5FB3517-1792-40C0-9F11-85D93CD2B30C}"/>
    <cellStyle name="Accent6" xfId="71" xr:uid="{1F7DBB12-83E3-4F66-A594-0D78BBDC5385}"/>
    <cellStyle name="Bad" xfId="46" xr:uid="{75A4451A-A62C-4B86-8255-F845491F210E}"/>
    <cellStyle name="Bueno" xfId="6" builtinId="26" customBuiltin="1"/>
    <cellStyle name="Calculation" xfId="49" xr:uid="{C8DE2408-3844-4FBB-ADAF-DF614D2BDF67}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xplanatory Text" xfId="50" xr:uid="{6D907D3D-F5A8-40B2-B0DF-21806F50C358}"/>
    <cellStyle name="Heading 2" xfId="44" xr:uid="{1A8E5665-00F9-4341-B86B-FF9520FDB744}"/>
    <cellStyle name="Heading 3" xfId="45" xr:uid="{DB0D0CAC-32FA-4873-888D-60A183F0893D}"/>
    <cellStyle name="Hipervínculo 2" xfId="171" xr:uid="{2256835C-6685-4485-89B3-E6B5FC76A421}"/>
    <cellStyle name="Hipervínculo 3" xfId="170" xr:uid="{5514890A-4BDC-4AB9-9E2B-B92DABE17C6E}"/>
    <cellStyle name="Incorrecto" xfId="7" builtinId="27" customBuiltin="1"/>
    <cellStyle name="Millares 2" xfId="109" xr:uid="{FE5431FB-7577-4702-ADAC-6B5BBDAF1070}"/>
    <cellStyle name="Millares 2 10" xfId="168" xr:uid="{938BE33B-89ED-4EE4-9183-8F6DB716FE14}"/>
    <cellStyle name="Millares 2 2" xfId="111" xr:uid="{9BF371B9-A242-4596-BA87-C1C44D7AB4D6}"/>
    <cellStyle name="Millares 2 2 2" xfId="114" xr:uid="{14EABDEE-93C0-491E-9B18-F498826B7906}"/>
    <cellStyle name="Millares 2 2 2 2" xfId="130" xr:uid="{FCBCF8DA-456D-4684-9CC0-9EFD0B6743F2}"/>
    <cellStyle name="Millares 2 2 2 3" xfId="144" xr:uid="{A0EAC564-C9A8-48A9-BF67-CE9153BBE1C9}"/>
    <cellStyle name="Millares 2 2 2 4" xfId="158" xr:uid="{C0965890-C7A2-473B-BB4B-D81784CE4054}"/>
    <cellStyle name="Millares 2 2 3" xfId="118" xr:uid="{57DFDA01-CE05-44E8-9D4C-76870015DC3F}"/>
    <cellStyle name="Millares 2 2 3 2" xfId="133" xr:uid="{02534E7A-7728-4F0E-A9C3-2B34AE5DE5D5}"/>
    <cellStyle name="Millares 2 2 3 3" xfId="147" xr:uid="{CFB5CBBE-2C96-4A70-A041-D443299F5DB8}"/>
    <cellStyle name="Millares 2 2 3 4" xfId="161" xr:uid="{4E31F059-72DC-4160-938E-1A754AAF496C}"/>
    <cellStyle name="Millares 2 2 4" xfId="121" xr:uid="{B219B75B-A4CC-4335-9556-BD6B35059C17}"/>
    <cellStyle name="Millares 2 2 4 2" xfId="136" xr:uid="{00F49113-E54A-43B3-A1A4-1D016928B0AD}"/>
    <cellStyle name="Millares 2 2 4 3" xfId="150" xr:uid="{043A87A0-C8DE-4975-99AD-AE9F3442FF00}"/>
    <cellStyle name="Millares 2 2 4 4" xfId="164" xr:uid="{585C7C77-5C6C-4600-912F-17778E0B2B13}"/>
    <cellStyle name="Millares 2 2 5" xfId="124" xr:uid="{CEBED5BD-1D32-41DB-9F11-E44FEA07EB4B}"/>
    <cellStyle name="Millares 2 2 5 2" xfId="139" xr:uid="{14EFA26A-0B5B-4298-A909-CE3CA6315279}"/>
    <cellStyle name="Millares 2 2 5 3" xfId="153" xr:uid="{40EE9BEB-D670-4F3D-B6AE-161A8F6354D7}"/>
    <cellStyle name="Millares 2 2 5 4" xfId="167" xr:uid="{55BC57A1-0898-4B7F-9C32-90771706D1D4}"/>
    <cellStyle name="Millares 2 2 6" xfId="127" xr:uid="{01B3D120-9EA5-47A3-84FD-3950A53AFEB6}"/>
    <cellStyle name="Millares 2 2 7" xfId="141" xr:uid="{23052163-B5AE-44A9-A6C3-A4684499EFE3}"/>
    <cellStyle name="Millares 2 2 8" xfId="155" xr:uid="{633EFC20-F90A-46A7-9C70-F677CC9FEA5C}"/>
    <cellStyle name="Millares 2 2 9" xfId="169" xr:uid="{B7F17EDD-994E-4FE7-92F7-8651CF547857}"/>
    <cellStyle name="Millares 2 3" xfId="113" xr:uid="{9994D07E-263E-4B96-BE15-2B86F6698367}"/>
    <cellStyle name="Millares 2 3 2" xfId="129" xr:uid="{E34DDC01-0D31-40EB-8093-2FF45D500BF3}"/>
    <cellStyle name="Millares 2 3 3" xfId="143" xr:uid="{C01D6332-53A4-45EB-92F3-CB7FE57B9869}"/>
    <cellStyle name="Millares 2 3 4" xfId="157" xr:uid="{5E31535B-DD2F-4EBD-8EE0-CCC8D3FDCD97}"/>
    <cellStyle name="Millares 2 4" xfId="117" xr:uid="{5B0AAF07-A568-47A2-863D-D0FD8FA301FA}"/>
    <cellStyle name="Millares 2 4 2" xfId="132" xr:uid="{3422B72B-9855-4D89-86C0-B47F2570B461}"/>
    <cellStyle name="Millares 2 4 3" xfId="146" xr:uid="{B8932781-F5E7-48A8-A2A0-759F4C50E945}"/>
    <cellStyle name="Millares 2 4 4" xfId="160" xr:uid="{E5D0B740-36CD-465D-BC62-83E1142D70A9}"/>
    <cellStyle name="Millares 2 5" xfId="120" xr:uid="{13E36888-2E48-4632-B632-EEECA508FC9B}"/>
    <cellStyle name="Millares 2 5 2" xfId="135" xr:uid="{93B25371-4CB5-4527-9891-26465BF5D137}"/>
    <cellStyle name="Millares 2 5 3" xfId="149" xr:uid="{08568A11-E0D4-4A83-955E-8BC3443895F4}"/>
    <cellStyle name="Millares 2 5 4" xfId="163" xr:uid="{17D5C49D-B557-4577-A8B0-5CF6FE23FADD}"/>
    <cellStyle name="Millares 2 6" xfId="123" xr:uid="{87246026-D41B-4E89-B4AD-1BF8962A1F1C}"/>
    <cellStyle name="Millares 2 6 2" xfId="138" xr:uid="{A83878F0-915A-435C-A3DA-9F21340CDC52}"/>
    <cellStyle name="Millares 2 6 3" xfId="152" xr:uid="{779A69C6-5BC8-438B-9288-6E293766B884}"/>
    <cellStyle name="Millares 2 6 4" xfId="166" xr:uid="{93479EA9-6C2C-45D2-AC1E-6F2781FF325C}"/>
    <cellStyle name="Millares 2 7" xfId="126" xr:uid="{05E25914-F4E7-4DC5-8A81-A95B593FE1E3}"/>
    <cellStyle name="Millares 2 8" xfId="140" xr:uid="{9B5D691A-AD5C-48C1-9DB5-EBBB598D6D25}"/>
    <cellStyle name="Millares 2 9" xfId="154" xr:uid="{D831063F-047D-488A-ABB0-08D6074D9DBA}"/>
    <cellStyle name="Moneda [0] 2" xfId="104" xr:uid="{10BEAE78-A11D-40CF-B3AD-CAC732DAC2C2}"/>
    <cellStyle name="Moneda [0] 3" xfId="102" xr:uid="{A2515108-F6C4-403E-924F-73A86A0BD09C}"/>
    <cellStyle name="Moneda [0] 4" xfId="116" xr:uid="{BA7E3CF8-3270-4F39-AE6A-03D52980AA08}"/>
    <cellStyle name="Moneda [0] 4 2" xfId="119" xr:uid="{6A0C7020-4F4A-4E52-B44D-E8170CBC8CCA}"/>
    <cellStyle name="Moneda [0] 4 2 2" xfId="134" xr:uid="{170B9535-2891-44DB-8C4E-524D723CBB5C}"/>
    <cellStyle name="Moneda [0] 4 2 3" xfId="148" xr:uid="{4BDE3BDF-391A-4FB9-ACAA-8EBBB39DA762}"/>
    <cellStyle name="Moneda [0] 4 2 4" xfId="162" xr:uid="{948E1AA6-6FF6-444F-8752-EE35E51D3EDB}"/>
    <cellStyle name="Moneda [0] 4 3" xfId="122" xr:uid="{EB56AAED-26D2-4941-831D-F338AA895131}"/>
    <cellStyle name="Moneda [0] 4 3 2" xfId="137" xr:uid="{63604D8B-5A39-4383-9B06-75F113CF5023}"/>
    <cellStyle name="Moneda [0] 4 3 3" xfId="151" xr:uid="{631F0A02-DC82-4619-91BA-E9218280C68C}"/>
    <cellStyle name="Moneda [0] 4 3 4" xfId="165" xr:uid="{988B1836-A651-498A-A680-9916230A6CCD}"/>
    <cellStyle name="Moneda [0] 4 4" xfId="131" xr:uid="{B61C71C6-E273-49F9-ADFC-E45F16C59B07}"/>
    <cellStyle name="Moneda [0] 4 5" xfId="145" xr:uid="{B9E88B71-1BAE-4A7B-9E2F-4D3A9FD949DF}"/>
    <cellStyle name="Moneda [0] 4 6" xfId="159" xr:uid="{5E72BDA3-5A2C-43B6-9BFD-C753C9155D50}"/>
    <cellStyle name="Moneda 11" xfId="125" xr:uid="{4BD7228F-BE80-4AB2-A620-FEC4C1C51320}"/>
    <cellStyle name="Moneda 2" xfId="106" xr:uid="{2B80D385-D63B-4758-B4D9-1202B9CA48F9}"/>
    <cellStyle name="Moneda 3" xfId="108" xr:uid="{B8BFE51F-B450-4922-ABBA-D7564B2826BF}"/>
    <cellStyle name="Moneda 4" xfId="107" xr:uid="{45FE5E57-80FC-4BFB-AE65-272D5E00C6F6}"/>
    <cellStyle name="Moneda 5" xfId="115" xr:uid="{B33F73AA-7C4A-4356-B6E5-FDA8123FA9D0}"/>
    <cellStyle name="Moneda 6" xfId="128" xr:uid="{BD89B8B1-6C47-41BA-BF6D-B52A396A6748}"/>
    <cellStyle name="Moneda 7" xfId="142" xr:uid="{988DB59E-FFF6-4846-9F27-9F14A12F9ABE}"/>
    <cellStyle name="Moneda 8" xfId="156" xr:uid="{5134B417-05B3-40E2-95CB-824E592A9ED1}"/>
    <cellStyle name="Moneda 9" xfId="112" xr:uid="{09A58DEF-7DB7-4C7A-A53F-AA85BD9B1FBE}"/>
    <cellStyle name="Neutral" xfId="8" builtinId="28" customBuiltin="1"/>
    <cellStyle name="Neutral 2" xfId="94" xr:uid="{120D4BF5-5640-42A3-AEB0-C7F35396F1EE}"/>
    <cellStyle name="Neutral 3" xfId="47" xr:uid="{9659C239-7DE2-4A5A-A87B-3671B40EDC5B}"/>
    <cellStyle name="Normal" xfId="0" builtinId="0"/>
    <cellStyle name="Normal 2" xfId="77" xr:uid="{9965B63E-DFEC-4D1E-918C-EEE641C00547}"/>
    <cellStyle name="Normal 3" xfId="79" xr:uid="{A387F481-9AC6-451C-BCB5-0F05D38AEA62}"/>
    <cellStyle name="Normal 4" xfId="78" xr:uid="{C596AD38-1F8C-42F0-AD90-70EB46499678}"/>
    <cellStyle name="Normal 4 2" xfId="103" xr:uid="{A9D8DA8D-C48C-4BC9-B368-DB27664A5F48}"/>
    <cellStyle name="Normal 4 3" xfId="110" xr:uid="{ABC4FAA1-40B0-4960-BEF9-7A0766118606}"/>
    <cellStyle name="Normal 5" xfId="42" xr:uid="{F617593C-3B56-4F55-8234-44610C04368F}"/>
    <cellStyle name="Normal 55 2" xfId="101" xr:uid="{340F91ED-650E-4AAF-972C-361CBC4A494D}"/>
    <cellStyle name="Normal 9" xfId="105" xr:uid="{586D0F13-3BD3-43FD-8FB8-5BF4DCEEA0F3}"/>
    <cellStyle name="Notas" xfId="15" builtinId="10" customBuiltin="1"/>
    <cellStyle name="Notas 2" xfId="81" xr:uid="{F2D6127E-3F53-4F2E-9214-AF9CEF264DDC}"/>
    <cellStyle name="Notas 3" xfId="76" xr:uid="{D3E52995-83B9-4DE7-8BDC-693AE4C49729}"/>
    <cellStyle name="Output" xfId="48" xr:uid="{AEC499E3-D314-486C-87A2-EDB038E6529C}"/>
    <cellStyle name="Salida" xfId="10" builtinId="21" customBuiltin="1"/>
    <cellStyle name="Texto de advertencia" xfId="14" builtinId="11" customBuiltin="1"/>
    <cellStyle name="Texto explicativo" xfId="16" builtinId="53" customBuiltin="1"/>
    <cellStyle name="Title" xfId="43" xr:uid="{E9D62F1C-140B-4BB4-8D10-E6E36B84AC88}"/>
    <cellStyle name="Título" xfId="1" builtinId="15" customBuiltin="1"/>
    <cellStyle name="Título 2" xfId="3" builtinId="17" customBuiltin="1"/>
    <cellStyle name="Título 3" xfId="4" builtinId="18" customBuiltin="1"/>
    <cellStyle name="Título 4" xfId="75" xr:uid="{6512E326-FC6B-4289-AEC9-7FCA47254213}"/>
    <cellStyle name="Título 5" xfId="80" xr:uid="{69303E1A-2971-4D8B-9B8F-CC21B4FCB8D0}"/>
    <cellStyle name="Total" xfId="17" builtinId="25" customBuiltin="1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V%2019.05.202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FERSON ROMERO " refreshedDate="45720.479059722224" createdVersion="8" refreshedVersion="8" minRefreshableVersion="3" recordCount="124" xr:uid="{03023424-4FFC-4E1C-9037-BBAAD046E333}">
  <cacheSource type="worksheet">
    <worksheetSource ref="A1:B3" sheet="INVENTARIO IMC" r:id="rId2"/>
  </cacheSource>
  <cacheFields count="4">
    <cacheField name="Material" numFmtId="0">
      <sharedItems/>
    </cacheField>
    <cacheField name="Lote" numFmtId="0">
      <sharedItems/>
    </cacheField>
    <cacheField name="Nº pieza fabricante" numFmtId="0">
      <sharedItems count="91">
        <s v="200950LP"/>
        <s v="200952LP"/>
        <s v="200951LP"/>
        <s v="200818P"/>
        <s v="D008AK001"/>
        <s v="J8J95A"/>
        <s v="HP-741727-001B"/>
        <s v="HP-N12500-001"/>
        <s v="5D11A22491"/>
        <s v="200941P"/>
        <s v="200943P"/>
        <s v="201384"/>
        <s v="201385"/>
        <s v="201386"/>
        <s v="201387"/>
        <s v="B5L37A"/>
        <s v="LEX-40X9137"/>
        <s v="LEX-41X1228"/>
        <s v="L0H24A-LP"/>
        <s v="HP-CQ890-67108"/>
        <s v="HP-CH538-67071"/>
        <s v="200949P"/>
        <s v="200950P"/>
        <s v="200951P"/>
        <s v="200952P"/>
        <s v="200942P"/>
        <s v="200944P"/>
        <s v="201173P"/>
        <s v="201175P"/>
        <s v="201174P"/>
        <s v="201172P"/>
        <s v="201050P"/>
        <s v="B5L35A"/>
        <s v="HP-M78958-161"/>
        <s v="LEX-40X9101"/>
        <s v="HP-L78091-001"/>
        <s v="M78513-161"/>
        <s v="N09824-001"/>
        <s v="HP-N10777-161"/>
        <s v="HP-RM2-1318-010"/>
        <s v="HP-L45091-001"/>
        <s v="M07130-161"/>
        <s v="HP-Y1G00-67902"/>
        <s v="HP-M21370-001"/>
        <s v="300201LP"/>
        <s v="J8J87A-LP"/>
        <s v="L2718A"/>
        <s v="6545621123"/>
        <s v="B3M77A"/>
        <s v="LEX-41X1178B"/>
        <s v="201319P"/>
        <s v="201383P"/>
        <s v="HP-RM2-2585-BK"/>
        <s v="MUESTRA FEDEX"/>
        <s v="F2G76-67901-LP"/>
        <s v="B3M77A-LP"/>
        <s v="201316P"/>
        <s v="P1B93A"/>
        <s v="LEX-40X9135"/>
        <s v="200994P"/>
        <s v="LEX-41X2233"/>
        <s v="201315P"/>
        <s v="201317P"/>
        <s v="J8J87A"/>
        <s v="HP-RM2-6460-BK"/>
        <s v="201188PLA"/>
        <s v="LEX-41X1225"/>
        <s v="201314P"/>
        <s v="RM2-5679-LP"/>
        <s v="HP-L0H24A"/>
        <s v="HP-JC91-01176A"/>
        <s v="201381"/>
        <s v="200628LP"/>
        <s v="LEX-40X9097"/>
        <s v="200997"/>
        <s v="201432P"/>
        <s v="201304"/>
        <s v="200490P"/>
        <s v="201382"/>
        <s v="200173LP"/>
        <s v="201087P"/>
        <s v="201088P"/>
        <s v="201089P"/>
        <s v="LEX-40X8420B"/>
        <s v="201086P"/>
        <s v="200554LP"/>
        <s v="200993P"/>
        <s v="200778P"/>
        <s v="200778LPB"/>
        <s v="200892LPB"/>
        <s v="200552LPB"/>
      </sharedItems>
    </cacheField>
    <cacheField name="Stock disponible" numFmtId="3">
      <sharedItems containsSemiMixedTypes="0" containsString="0" containsNumber="1" containsInteger="1" minValue="1" maxValue="1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9109667"/>
    <s v="CHINA"/>
    <x v="0"/>
    <n v="1"/>
  </r>
  <r>
    <s v="9109668"/>
    <s v="CHINA"/>
    <x v="1"/>
    <n v="1"/>
  </r>
  <r>
    <s v="9109669"/>
    <s v="CHINA"/>
    <x v="2"/>
    <n v="1"/>
  </r>
  <r>
    <s v="9084686"/>
    <s v="SI-271708"/>
    <x v="3"/>
    <n v="1"/>
  </r>
  <r>
    <s v="9123909"/>
    <s v="SI-271880"/>
    <x v="4"/>
    <n v="1"/>
  </r>
  <r>
    <s v="9026537"/>
    <s v="SI-271880"/>
    <x v="5"/>
    <n v="1"/>
  </r>
  <r>
    <s v="9028112"/>
    <s v="29457"/>
    <x v="6"/>
    <n v="1"/>
  </r>
  <r>
    <s v="9126030"/>
    <s v="SI-271880"/>
    <x v="7"/>
    <n v="1"/>
  </r>
  <r>
    <s v="9126215"/>
    <s v="SI-271880"/>
    <x v="8"/>
    <n v="1"/>
  </r>
  <r>
    <s v="9032644"/>
    <s v="SI-270138"/>
    <x v="9"/>
    <n v="1"/>
  </r>
  <r>
    <s v="9032646"/>
    <s v="SI-270138"/>
    <x v="10"/>
    <n v="1"/>
  </r>
  <r>
    <s v="9098626"/>
    <s v="SI-270138"/>
    <x v="11"/>
    <n v="1"/>
  </r>
  <r>
    <s v="9098627"/>
    <s v="SI-270138"/>
    <x v="12"/>
    <n v="1"/>
  </r>
  <r>
    <s v="9098628"/>
    <s v="SI-270138"/>
    <x v="13"/>
    <n v="1"/>
  </r>
  <r>
    <s v="9098629"/>
    <s v="SI-270138"/>
    <x v="14"/>
    <n v="1"/>
  </r>
  <r>
    <s v="9027256"/>
    <s v="SI-271880"/>
    <x v="15"/>
    <n v="1"/>
  </r>
  <r>
    <s v="9086804"/>
    <s v="SI-271880"/>
    <x v="16"/>
    <n v="1"/>
  </r>
  <r>
    <s v="9034106"/>
    <s v="SI-270138"/>
    <x v="17"/>
    <n v="1"/>
  </r>
  <r>
    <s v="9086803"/>
    <s v="SI-271569"/>
    <x v="18"/>
    <n v="1"/>
  </r>
  <r>
    <s v="9034165"/>
    <s v=" SI-271161"/>
    <x v="19"/>
    <n v="1"/>
  </r>
  <r>
    <s v="9126025"/>
    <s v="SI-271880"/>
    <x v="20"/>
    <n v="1"/>
  </r>
  <r>
    <s v="9031175"/>
    <s v="SI-269744"/>
    <x v="21"/>
    <n v="1"/>
  </r>
  <r>
    <s v="9031176"/>
    <s v="SI-269744"/>
    <x v="22"/>
    <n v="1"/>
  </r>
  <r>
    <s v="9031177"/>
    <s v="SI-269744"/>
    <x v="23"/>
    <n v="1"/>
  </r>
  <r>
    <s v="9031178"/>
    <s v="SI-269744"/>
    <x v="24"/>
    <n v="1"/>
  </r>
  <r>
    <s v="9032645"/>
    <s v="SI-270138"/>
    <x v="25"/>
    <n v="1"/>
  </r>
  <r>
    <s v="9032647"/>
    <s v="SI-270138"/>
    <x v="26"/>
    <n v="1"/>
  </r>
  <r>
    <s v="9098632"/>
    <s v="SI-269224"/>
    <x v="27"/>
    <n v="1"/>
  </r>
  <r>
    <s v="9098632"/>
    <s v="SI-269744"/>
    <x v="27"/>
    <n v="1"/>
  </r>
  <r>
    <s v="9098632"/>
    <s v="SI-269873"/>
    <x v="27"/>
    <n v="1"/>
  </r>
  <r>
    <s v="9098633"/>
    <s v="SI-269224"/>
    <x v="28"/>
    <n v="1"/>
  </r>
  <r>
    <s v="9098633"/>
    <s v="SI-269744"/>
    <x v="28"/>
    <n v="1"/>
  </r>
  <r>
    <s v="9098633"/>
    <s v="SI-269873"/>
    <x v="28"/>
    <n v="1"/>
  </r>
  <r>
    <s v="9100188"/>
    <s v="SI-269424"/>
    <x v="29"/>
    <n v="1"/>
  </r>
  <r>
    <s v="9100188"/>
    <s v="SI-269502"/>
    <x v="29"/>
    <n v="1"/>
  </r>
  <r>
    <s v="9101936"/>
    <s v="SI-269873"/>
    <x v="30"/>
    <n v="1"/>
  </r>
  <r>
    <s v="9101937"/>
    <s v="SI-269873"/>
    <x v="31"/>
    <n v="1"/>
  </r>
  <r>
    <s v="9086520"/>
    <s v="SI-271880"/>
    <x v="32"/>
    <n v="1"/>
  </r>
  <r>
    <s v="9084660"/>
    <s v="SI-271880"/>
    <x v="33"/>
    <n v="1"/>
  </r>
  <r>
    <s v="9028799"/>
    <s v="SI-269257"/>
    <x v="34"/>
    <n v="1"/>
  </r>
  <r>
    <s v="9047738"/>
    <s v="SI-271764"/>
    <x v="35"/>
    <n v="1"/>
  </r>
  <r>
    <s v="9100180"/>
    <s v="SI-271880"/>
    <x v="36"/>
    <n v="1"/>
  </r>
  <r>
    <s v="9109272"/>
    <s v="SI-271708"/>
    <x v="37"/>
    <n v="1"/>
  </r>
  <r>
    <s v="9125023"/>
    <s v="SI-271615"/>
    <x v="38"/>
    <n v="1"/>
  </r>
  <r>
    <s v="9036043"/>
    <s v="SI-269873"/>
    <x v="39"/>
    <n v="1"/>
  </r>
  <r>
    <s v="9042188"/>
    <s v="SI-271880"/>
    <x v="40"/>
    <n v="1"/>
  </r>
  <r>
    <s v="9126027"/>
    <s v="SI-271880"/>
    <x v="41"/>
    <n v="1"/>
  </r>
  <r>
    <s v="9126028"/>
    <s v="SI-271880"/>
    <x v="42"/>
    <n v="1"/>
  </r>
  <r>
    <s v="9042177"/>
    <s v="SI-271880"/>
    <x v="43"/>
    <n v="1"/>
  </r>
  <r>
    <s v="9042177"/>
    <s v="SI-271880"/>
    <x v="43"/>
    <n v="1"/>
  </r>
  <r>
    <s v="9109665"/>
    <s v="CHINA"/>
    <x v="44"/>
    <n v="2"/>
  </r>
  <r>
    <s v="9084686"/>
    <s v="SI-271443"/>
    <x v="3"/>
    <n v="2"/>
  </r>
  <r>
    <s v="9028715"/>
    <s v="SI-271880"/>
    <x v="45"/>
    <n v="2"/>
  </r>
  <r>
    <s v="9026693"/>
    <s v="SI-271880"/>
    <x v="46"/>
    <n v="2"/>
  </r>
  <r>
    <s v="9034168"/>
    <s v="COMPRA"/>
    <x v="47"/>
    <n v="2"/>
  </r>
  <r>
    <s v="9026378"/>
    <s v="SI-271569"/>
    <x v="48"/>
    <n v="2"/>
  </r>
  <r>
    <s v="9126031"/>
    <s v="SI-271880"/>
    <x v="49"/>
    <n v="2"/>
  </r>
  <r>
    <s v="9100189"/>
    <s v="SI-269424"/>
    <x v="50"/>
    <n v="2"/>
  </r>
  <r>
    <s v="9046166"/>
    <s v=" SI-271268"/>
    <x v="51"/>
    <n v="2"/>
  </r>
  <r>
    <s v="9034165"/>
    <s v=" SI-271298"/>
    <x v="19"/>
    <n v="2"/>
  </r>
  <r>
    <s v="9037229"/>
    <s v="SI-271357"/>
    <x v="52"/>
    <n v="2"/>
  </r>
  <r>
    <s v="9125180"/>
    <s v="7712486694"/>
    <x v="53"/>
    <n v="2"/>
  </r>
  <r>
    <s v="9031154"/>
    <s v="SI-271764"/>
    <x v="54"/>
    <n v="2"/>
  </r>
  <r>
    <s v="9086802"/>
    <s v="SI-271708"/>
    <x v="55"/>
    <n v="3"/>
  </r>
  <r>
    <s v="9045918"/>
    <s v="SI-269924"/>
    <x v="56"/>
    <n v="3"/>
  </r>
  <r>
    <s v="9026561"/>
    <s v="SI-271357"/>
    <x v="57"/>
    <n v="3"/>
  </r>
  <r>
    <s v="9028296"/>
    <s v="SI-271357"/>
    <x v="58"/>
    <n v="3"/>
  </r>
  <r>
    <s v="9029088"/>
    <s v=" SI-271269"/>
    <x v="59"/>
    <n v="3"/>
  </r>
  <r>
    <s v="9086394"/>
    <s v="SI-271880"/>
    <x v="60"/>
    <n v="3"/>
  </r>
  <r>
    <s v="9044655"/>
    <s v="SI-269924"/>
    <x v="61"/>
    <n v="3"/>
  </r>
  <r>
    <s v="9048136"/>
    <s v="SI-269924"/>
    <x v="62"/>
    <n v="3"/>
  </r>
  <r>
    <s v="9026387"/>
    <s v="SI-271615"/>
    <x v="63"/>
    <n v="3"/>
  </r>
  <r>
    <s v="9031154"/>
    <s v="SI-271569"/>
    <x v="54"/>
    <n v="3"/>
  </r>
  <r>
    <s v="9037004"/>
    <s v="SI-271880"/>
    <x v="64"/>
    <n v="3"/>
  </r>
  <r>
    <s v="9089588"/>
    <s v="SI-271880"/>
    <x v="65"/>
    <n v="4"/>
  </r>
  <r>
    <s v="9084686"/>
    <s v="SI-271880"/>
    <x v="3"/>
    <n v="4"/>
  </r>
  <r>
    <s v="9084686"/>
    <s v="SI-271708"/>
    <x v="3"/>
    <n v="4"/>
  </r>
  <r>
    <s v="9028312"/>
    <s v="SI-271880"/>
    <x v="66"/>
    <n v="4"/>
  </r>
  <r>
    <s v="9045917"/>
    <s v="SI-269924"/>
    <x v="67"/>
    <n v="4"/>
  </r>
  <r>
    <s v="9028799"/>
    <s v="SI-269224"/>
    <x v="34"/>
    <n v="4"/>
  </r>
  <r>
    <s v="9027973"/>
    <s v="SI-271764"/>
    <x v="68"/>
    <n v="4"/>
  </r>
  <r>
    <s v="9026388"/>
    <s v="SI-271880"/>
    <x v="69"/>
    <n v="4"/>
  </r>
  <r>
    <s v="9031154"/>
    <s v="SI-271880"/>
    <x v="54"/>
    <n v="5"/>
  </r>
  <r>
    <s v="9084686"/>
    <s v="SI-271708"/>
    <x v="3"/>
    <n v="5"/>
  </r>
  <r>
    <s v="9028715"/>
    <s v="SI-271764"/>
    <x v="45"/>
    <n v="5"/>
  </r>
  <r>
    <s v="9026388"/>
    <s v="SI-271764"/>
    <x v="69"/>
    <n v="5"/>
  </r>
  <r>
    <s v="9027615"/>
    <s v=" SI-271161"/>
    <x v="70"/>
    <n v="6"/>
  </r>
  <r>
    <s v="9086394"/>
    <s v="SI-271880"/>
    <x v="60"/>
    <n v="7"/>
  </r>
  <r>
    <s v="9085768"/>
    <s v=" SI-271161"/>
    <x v="71"/>
    <n v="7"/>
  </r>
  <r>
    <s v="9109672"/>
    <s v="CHINA"/>
    <x v="72"/>
    <n v="7"/>
  </r>
  <r>
    <s v="9034418"/>
    <s v="SI-269476"/>
    <x v="73"/>
    <n v="7"/>
  </r>
  <r>
    <s v="9085498"/>
    <s v="SI-271644"/>
    <x v="74"/>
    <n v="8"/>
  </r>
  <r>
    <s v="9089763"/>
    <s v="SI-271443"/>
    <x v="75"/>
    <n v="8"/>
  </r>
  <r>
    <s v="9088167"/>
    <s v="SI-271708"/>
    <x v="76"/>
    <n v="8"/>
  </r>
  <r>
    <s v="9045723"/>
    <s v=" SI-271268"/>
    <x v="77"/>
    <n v="9"/>
  </r>
  <r>
    <s v="9086803"/>
    <s v="SI-271764"/>
    <x v="18"/>
    <n v="10"/>
  </r>
  <r>
    <s v="9028715"/>
    <s v="SI-271708"/>
    <x v="45"/>
    <n v="10"/>
  </r>
  <r>
    <s v="9085498"/>
    <s v="SI-271880"/>
    <x v="74"/>
    <n v="10"/>
  </r>
  <r>
    <s v="9029088"/>
    <s v=" SI-271161"/>
    <x v="59"/>
    <n v="12"/>
  </r>
  <r>
    <s v="9088529"/>
    <s v="SI-271880"/>
    <x v="78"/>
    <n v="13"/>
  </r>
  <r>
    <s v="9109671"/>
    <s v="CHINA"/>
    <x v="79"/>
    <n v="14"/>
  </r>
  <r>
    <s v="9029088"/>
    <s v="SI-271880"/>
    <x v="59"/>
    <n v="15"/>
  </r>
  <r>
    <s v="9084686"/>
    <s v="SI-271764"/>
    <x v="3"/>
    <n v="16"/>
  </r>
  <r>
    <s v="9120409"/>
    <s v="SI-271402"/>
    <x v="80"/>
    <n v="18"/>
  </r>
  <r>
    <s v="9120410"/>
    <s v="SI-271402"/>
    <x v="81"/>
    <n v="18"/>
  </r>
  <r>
    <s v="9120411"/>
    <s v="SI-271402"/>
    <x v="82"/>
    <n v="18"/>
  </r>
  <r>
    <s v="9026830"/>
    <s v="SI-271880"/>
    <x v="83"/>
    <n v="18"/>
  </r>
  <r>
    <s v="9029088"/>
    <s v=" SI-271299"/>
    <x v="59"/>
    <n v="20"/>
  </r>
  <r>
    <s v="9120408"/>
    <s v="SI-271510"/>
    <x v="84"/>
    <n v="21"/>
  </r>
  <r>
    <s v="9089763"/>
    <s v="SI-271880"/>
    <x v="75"/>
    <n v="25"/>
  </r>
  <r>
    <s v="9109666"/>
    <s v="CHINA"/>
    <x v="85"/>
    <n v="26"/>
  </r>
  <r>
    <s v="9097943"/>
    <s v="SI-271880"/>
    <x v="86"/>
    <n v="28"/>
  </r>
  <r>
    <s v="9088316"/>
    <s v="SI-270053"/>
    <x v="87"/>
    <n v="29"/>
  </r>
  <r>
    <s v="9109674"/>
    <s v="CHINA"/>
    <x v="88"/>
    <n v="31"/>
  </r>
  <r>
    <s v="9085768"/>
    <s v="SI-271357"/>
    <x v="71"/>
    <n v="33"/>
  </r>
  <r>
    <s v="9097943"/>
    <s v=" SI-271299"/>
    <x v="86"/>
    <n v="39"/>
  </r>
  <r>
    <s v="9088167"/>
    <s v="SI-271708"/>
    <x v="76"/>
    <n v="42"/>
  </r>
  <r>
    <s v="9097943"/>
    <s v="SI-271443"/>
    <x v="86"/>
    <n v="44"/>
  </r>
  <r>
    <s v="9123909"/>
    <s v="SI-271880"/>
    <x v="4"/>
    <n v="49"/>
  </r>
  <r>
    <s v="9097943"/>
    <s v="SI-271569"/>
    <x v="86"/>
    <n v="49"/>
  </r>
  <r>
    <s v="9029088"/>
    <s v="SI-271510"/>
    <x v="59"/>
    <n v="50"/>
  </r>
  <r>
    <s v="9109674"/>
    <s v="CHINA"/>
    <x v="88"/>
    <n v="53"/>
  </r>
  <r>
    <s v="9109676"/>
    <s v="CHINA"/>
    <x v="89"/>
    <n v="57"/>
  </r>
  <r>
    <s v="9109675"/>
    <s v="CHINA"/>
    <x v="90"/>
    <n v="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7B1CE-0E10-49F4-9460-680DA243CBB3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5" firstHeaderRow="1" firstDataRow="1" firstDataCol="1"/>
  <pivotFields count="4">
    <pivotField showAll="0"/>
    <pivotField showAll="0"/>
    <pivotField axis="axisRow" showAll="0">
      <items count="92">
        <item x="79"/>
        <item x="77"/>
        <item x="90"/>
        <item x="85"/>
        <item x="72"/>
        <item x="88"/>
        <item x="87"/>
        <item x="3"/>
        <item x="89"/>
        <item x="9"/>
        <item x="25"/>
        <item x="10"/>
        <item x="26"/>
        <item x="21"/>
        <item x="0"/>
        <item x="22"/>
        <item x="2"/>
        <item x="23"/>
        <item x="1"/>
        <item x="24"/>
        <item x="86"/>
        <item x="59"/>
        <item x="74"/>
        <item x="31"/>
        <item x="84"/>
        <item x="80"/>
        <item x="81"/>
        <item x="82"/>
        <item x="30"/>
        <item x="27"/>
        <item x="29"/>
        <item x="28"/>
        <item x="65"/>
        <item x="76"/>
        <item x="67"/>
        <item x="61"/>
        <item x="56"/>
        <item x="62"/>
        <item x="50"/>
        <item x="71"/>
        <item x="78"/>
        <item x="51"/>
        <item x="11"/>
        <item x="12"/>
        <item x="13"/>
        <item x="14"/>
        <item x="75"/>
        <item x="44"/>
        <item x="8"/>
        <item x="47"/>
        <item x="48"/>
        <item x="55"/>
        <item x="32"/>
        <item x="15"/>
        <item x="4"/>
        <item x="54"/>
        <item x="6"/>
        <item x="20"/>
        <item x="19"/>
        <item x="70"/>
        <item x="69"/>
        <item x="40"/>
        <item x="35"/>
        <item x="43"/>
        <item x="33"/>
        <item x="38"/>
        <item x="7"/>
        <item x="39"/>
        <item x="52"/>
        <item x="64"/>
        <item x="42"/>
        <item x="63"/>
        <item x="45"/>
        <item x="5"/>
        <item x="18"/>
        <item x="46"/>
        <item x="83"/>
        <item x="73"/>
        <item x="34"/>
        <item x="58"/>
        <item x="16"/>
        <item x="49"/>
        <item x="66"/>
        <item x="17"/>
        <item x="60"/>
        <item x="41"/>
        <item x="36"/>
        <item x="53"/>
        <item x="37"/>
        <item x="57"/>
        <item x="68"/>
        <item t="default"/>
      </items>
    </pivotField>
    <pivotField dataField="1" numFmtId="3" showAll="0"/>
  </pivotFields>
  <rowFields count="1">
    <field x="2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dataFields count="1">
    <dataField name="Suma de Stock disponible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36D9-8637-4F88-8A5D-A9E38BD63F91}">
  <sheetPr>
    <pageSetUpPr fitToPage="1"/>
  </sheetPr>
  <dimension ref="A1:P334"/>
  <sheetViews>
    <sheetView workbookViewId="0">
      <selection sqref="A1:XFD1"/>
    </sheetView>
  </sheetViews>
  <sheetFormatPr baseColWidth="10" defaultRowHeight="12.75" x14ac:dyDescent="0.2"/>
  <cols>
    <col min="3" max="3" width="15.85546875" customWidth="1"/>
  </cols>
  <sheetData>
    <row r="1" spans="1:16" x14ac:dyDescent="0.2">
      <c r="A1" s="22" t="s">
        <v>588</v>
      </c>
      <c r="B1" s="22" t="s">
        <v>589</v>
      </c>
      <c r="C1" s="22" t="s">
        <v>590</v>
      </c>
      <c r="D1" s="22" t="s">
        <v>591</v>
      </c>
      <c r="E1" s="22" t="s">
        <v>592</v>
      </c>
      <c r="F1" s="22" t="s">
        <v>593</v>
      </c>
      <c r="G1" s="22" t="s">
        <v>594</v>
      </c>
      <c r="H1" s="22" t="s">
        <v>595</v>
      </c>
      <c r="I1" s="22" t="s">
        <v>596</v>
      </c>
      <c r="J1" s="22" t="s">
        <v>597</v>
      </c>
      <c r="K1" s="22" t="s">
        <v>598</v>
      </c>
      <c r="L1" s="22" t="s">
        <v>599</v>
      </c>
      <c r="M1" s="22" t="s">
        <v>600</v>
      </c>
      <c r="N1" s="22" t="s">
        <v>601</v>
      </c>
      <c r="O1" s="22" t="s">
        <v>1296</v>
      </c>
      <c r="P1" s="22" t="s">
        <v>1297</v>
      </c>
    </row>
    <row r="2" spans="1:16" x14ac:dyDescent="0.2">
      <c r="A2" s="8" t="s">
        <v>604</v>
      </c>
      <c r="B2" s="8" t="s">
        <v>605</v>
      </c>
      <c r="C2" s="8" t="s">
        <v>58</v>
      </c>
      <c r="D2" s="23">
        <v>1</v>
      </c>
      <c r="E2" s="8" t="s">
        <v>58</v>
      </c>
      <c r="F2" s="8" t="s">
        <v>606</v>
      </c>
      <c r="G2" s="8" t="s">
        <v>602</v>
      </c>
      <c r="H2" s="8" t="s">
        <v>607</v>
      </c>
      <c r="I2" s="8" t="s">
        <v>603</v>
      </c>
      <c r="J2" s="8" t="s">
        <v>608</v>
      </c>
      <c r="K2" s="24">
        <v>46098</v>
      </c>
      <c r="L2" s="24">
        <v>45874</v>
      </c>
      <c r="M2" s="24">
        <v>45948</v>
      </c>
      <c r="N2" s="8" t="s">
        <v>609</v>
      </c>
      <c r="O2" s="24"/>
      <c r="P2" s="8"/>
    </row>
    <row r="3" spans="1:16" x14ac:dyDescent="0.2">
      <c r="A3" s="8" t="s">
        <v>1077</v>
      </c>
      <c r="B3" s="8" t="s">
        <v>1212</v>
      </c>
      <c r="C3" s="8" t="s">
        <v>143</v>
      </c>
      <c r="D3" s="23">
        <v>1</v>
      </c>
      <c r="E3" s="8" t="s">
        <v>143</v>
      </c>
      <c r="F3" s="8" t="s">
        <v>1213</v>
      </c>
      <c r="G3" s="8" t="s">
        <v>602</v>
      </c>
      <c r="H3" s="8" t="s">
        <v>1104</v>
      </c>
      <c r="I3" s="8" t="s">
        <v>603</v>
      </c>
      <c r="J3" s="8" t="s">
        <v>608</v>
      </c>
      <c r="K3" s="24">
        <v>46111</v>
      </c>
      <c r="L3" s="24">
        <v>46041</v>
      </c>
      <c r="M3" s="24">
        <v>46045</v>
      </c>
      <c r="N3" s="8" t="s">
        <v>1185</v>
      </c>
      <c r="O3" s="24">
        <v>58805</v>
      </c>
      <c r="P3" s="8" t="s">
        <v>1298</v>
      </c>
    </row>
    <row r="4" spans="1:16" x14ac:dyDescent="0.2">
      <c r="A4" s="8" t="s">
        <v>619</v>
      </c>
      <c r="B4" s="8" t="s">
        <v>808</v>
      </c>
      <c r="C4" s="8" t="s">
        <v>86</v>
      </c>
      <c r="D4" s="23">
        <v>1</v>
      </c>
      <c r="E4" s="8" t="s">
        <v>620</v>
      </c>
      <c r="F4" s="8" t="s">
        <v>809</v>
      </c>
      <c r="G4" s="8" t="s">
        <v>602</v>
      </c>
      <c r="H4" s="8" t="s">
        <v>621</v>
      </c>
      <c r="I4" s="8" t="s">
        <v>603</v>
      </c>
      <c r="J4" s="8" t="s">
        <v>608</v>
      </c>
      <c r="K4" s="24">
        <v>46111</v>
      </c>
      <c r="L4" s="24">
        <v>45909</v>
      </c>
      <c r="M4" s="24">
        <v>46002</v>
      </c>
      <c r="N4" s="8" t="s">
        <v>630</v>
      </c>
      <c r="O4" s="24">
        <v>55040</v>
      </c>
      <c r="P4" s="8" t="s">
        <v>1339</v>
      </c>
    </row>
    <row r="5" spans="1:16" x14ac:dyDescent="0.2">
      <c r="A5" s="8" t="s">
        <v>623</v>
      </c>
      <c r="B5" s="8" t="s">
        <v>624</v>
      </c>
      <c r="C5" s="8" t="s">
        <v>130</v>
      </c>
      <c r="D5" s="23">
        <v>1</v>
      </c>
      <c r="E5" s="8" t="s">
        <v>130</v>
      </c>
      <c r="F5" s="8" t="s">
        <v>625</v>
      </c>
      <c r="G5" s="8" t="s">
        <v>602</v>
      </c>
      <c r="H5" s="8" t="s">
        <v>621</v>
      </c>
      <c r="I5" s="8" t="s">
        <v>603</v>
      </c>
      <c r="J5" s="8" t="s">
        <v>608</v>
      </c>
      <c r="K5" s="24">
        <v>46111</v>
      </c>
      <c r="L5" s="24">
        <v>45747</v>
      </c>
      <c r="M5" s="24">
        <v>46046</v>
      </c>
      <c r="N5" s="8" t="s">
        <v>626</v>
      </c>
      <c r="O5" s="24"/>
      <c r="P5" s="8"/>
    </row>
    <row r="6" spans="1:16" x14ac:dyDescent="0.2">
      <c r="A6" s="8" t="s">
        <v>1243</v>
      </c>
      <c r="B6" s="8" t="s">
        <v>1244</v>
      </c>
      <c r="C6" s="8" t="s">
        <v>15</v>
      </c>
      <c r="D6" s="23">
        <v>1</v>
      </c>
      <c r="E6" s="8" t="s">
        <v>15</v>
      </c>
      <c r="F6" s="8" t="s">
        <v>1245</v>
      </c>
      <c r="G6" s="8" t="s">
        <v>602</v>
      </c>
      <c r="H6" s="8" t="s">
        <v>632</v>
      </c>
      <c r="I6" s="8" t="s">
        <v>603</v>
      </c>
      <c r="J6" s="8" t="s">
        <v>608</v>
      </c>
      <c r="K6" s="24">
        <v>46111</v>
      </c>
      <c r="L6" s="24">
        <v>46045</v>
      </c>
      <c r="M6" s="24">
        <v>46045</v>
      </c>
      <c r="N6" s="8" t="s">
        <v>1158</v>
      </c>
      <c r="O6" s="24">
        <v>46088</v>
      </c>
      <c r="P6" s="8" t="s">
        <v>1299</v>
      </c>
    </row>
    <row r="7" spans="1:16" x14ac:dyDescent="0.2">
      <c r="A7" s="8" t="s">
        <v>636</v>
      </c>
      <c r="B7" s="8" t="s">
        <v>637</v>
      </c>
      <c r="C7" s="8" t="s">
        <v>127</v>
      </c>
      <c r="D7" s="23">
        <v>1</v>
      </c>
      <c r="E7" s="8" t="s">
        <v>638</v>
      </c>
      <c r="F7" s="8" t="s">
        <v>639</v>
      </c>
      <c r="G7" s="8" t="s">
        <v>602</v>
      </c>
      <c r="H7" s="8" t="s">
        <v>632</v>
      </c>
      <c r="I7" s="8" t="s">
        <v>603</v>
      </c>
      <c r="J7" s="8" t="s">
        <v>608</v>
      </c>
      <c r="K7" s="24">
        <v>46111</v>
      </c>
      <c r="L7" s="24">
        <v>45722</v>
      </c>
      <c r="M7" s="24">
        <v>45728</v>
      </c>
      <c r="N7" s="8" t="s">
        <v>640</v>
      </c>
      <c r="O7" s="24"/>
      <c r="P7" s="8"/>
    </row>
    <row r="8" spans="1:16" x14ac:dyDescent="0.2">
      <c r="A8" s="8" t="s">
        <v>1301</v>
      </c>
      <c r="B8" s="8" t="s">
        <v>1302</v>
      </c>
      <c r="C8" s="8" t="s">
        <v>1277</v>
      </c>
      <c r="D8" s="23">
        <v>1</v>
      </c>
      <c r="E8" s="8" t="s">
        <v>1277</v>
      </c>
      <c r="F8" s="8" t="s">
        <v>1303</v>
      </c>
      <c r="G8" s="8" t="s">
        <v>602</v>
      </c>
      <c r="H8" s="8" t="s">
        <v>632</v>
      </c>
      <c r="I8" s="8" t="s">
        <v>603</v>
      </c>
      <c r="J8" s="8" t="s">
        <v>608</v>
      </c>
      <c r="K8" s="24">
        <v>46111</v>
      </c>
      <c r="L8" s="24">
        <v>46056</v>
      </c>
      <c r="M8" s="24">
        <v>46056</v>
      </c>
      <c r="N8" s="8"/>
      <c r="O8" s="24"/>
      <c r="P8" s="8"/>
    </row>
    <row r="9" spans="1:16" x14ac:dyDescent="0.2">
      <c r="A9" s="8" t="s">
        <v>1508</v>
      </c>
      <c r="B9" s="8" t="s">
        <v>1509</v>
      </c>
      <c r="C9" s="8" t="s">
        <v>1510</v>
      </c>
      <c r="D9" s="23">
        <v>1</v>
      </c>
      <c r="E9" s="8" t="s">
        <v>1511</v>
      </c>
      <c r="F9" s="8" t="s">
        <v>1512</v>
      </c>
      <c r="G9" s="8" t="s">
        <v>602</v>
      </c>
      <c r="H9" s="8" t="s">
        <v>632</v>
      </c>
      <c r="I9" s="8" t="s">
        <v>603</v>
      </c>
      <c r="J9" s="8" t="s">
        <v>608</v>
      </c>
      <c r="K9" s="24">
        <v>46111</v>
      </c>
      <c r="L9" s="24">
        <v>46083</v>
      </c>
      <c r="M9" s="24">
        <v>46085</v>
      </c>
      <c r="N9" s="8"/>
      <c r="O9" s="24"/>
      <c r="P9" s="8"/>
    </row>
    <row r="10" spans="1:16" x14ac:dyDescent="0.2">
      <c r="A10" s="8" t="s">
        <v>641</v>
      </c>
      <c r="B10" s="8" t="s">
        <v>642</v>
      </c>
      <c r="C10" s="8" t="s">
        <v>367</v>
      </c>
      <c r="D10" s="23">
        <v>1</v>
      </c>
      <c r="E10" s="8" t="s">
        <v>367</v>
      </c>
      <c r="F10" s="8" t="s">
        <v>643</v>
      </c>
      <c r="G10" s="8" t="s">
        <v>602</v>
      </c>
      <c r="H10" s="8" t="s">
        <v>632</v>
      </c>
      <c r="I10" s="8" t="s">
        <v>603</v>
      </c>
      <c r="J10" s="8" t="s">
        <v>608</v>
      </c>
      <c r="K10" s="24">
        <v>46111</v>
      </c>
      <c r="L10" s="24">
        <v>45814</v>
      </c>
      <c r="M10" s="24">
        <v>45814</v>
      </c>
      <c r="N10" s="8" t="s">
        <v>644</v>
      </c>
      <c r="O10" s="24"/>
      <c r="P10" s="8"/>
    </row>
    <row r="11" spans="1:16" x14ac:dyDescent="0.2">
      <c r="A11" s="8" t="s">
        <v>1410</v>
      </c>
      <c r="B11" s="8" t="s">
        <v>1513</v>
      </c>
      <c r="C11" s="8" t="s">
        <v>1411</v>
      </c>
      <c r="D11" s="23">
        <v>1</v>
      </c>
      <c r="E11" s="8" t="s">
        <v>1412</v>
      </c>
      <c r="F11" s="8" t="s">
        <v>1514</v>
      </c>
      <c r="G11" s="8" t="s">
        <v>602</v>
      </c>
      <c r="H11" s="8" t="s">
        <v>632</v>
      </c>
      <c r="I11" s="8" t="s">
        <v>603</v>
      </c>
      <c r="J11" s="8" t="s">
        <v>608</v>
      </c>
      <c r="K11" s="24">
        <v>46111</v>
      </c>
      <c r="L11" s="24">
        <v>46098</v>
      </c>
      <c r="M11" s="24">
        <v>46098</v>
      </c>
      <c r="N11" s="8" t="s">
        <v>1515</v>
      </c>
      <c r="O11" s="24"/>
      <c r="P11" s="8"/>
    </row>
    <row r="12" spans="1:16" x14ac:dyDescent="0.2">
      <c r="A12" s="8" t="s">
        <v>1410</v>
      </c>
      <c r="B12" s="8" t="s">
        <v>1509</v>
      </c>
      <c r="C12" s="8" t="s">
        <v>1411</v>
      </c>
      <c r="D12" s="23">
        <v>1</v>
      </c>
      <c r="E12" s="8" t="s">
        <v>1412</v>
      </c>
      <c r="F12" s="8" t="s">
        <v>1516</v>
      </c>
      <c r="G12" s="8" t="s">
        <v>602</v>
      </c>
      <c r="H12" s="8" t="s">
        <v>632</v>
      </c>
      <c r="I12" s="8" t="s">
        <v>603</v>
      </c>
      <c r="J12" s="8" t="s">
        <v>608</v>
      </c>
      <c r="K12" s="24">
        <v>46111</v>
      </c>
      <c r="L12" s="24">
        <v>46083</v>
      </c>
      <c r="M12" s="24">
        <v>46085</v>
      </c>
      <c r="N12" s="8"/>
      <c r="O12" s="24"/>
      <c r="P12" s="8"/>
    </row>
    <row r="13" spans="1:16" x14ac:dyDescent="0.2">
      <c r="A13" s="8" t="s">
        <v>1361</v>
      </c>
      <c r="B13" s="8" t="s">
        <v>785</v>
      </c>
      <c r="C13" s="8" t="s">
        <v>1362</v>
      </c>
      <c r="D13" s="23">
        <v>1</v>
      </c>
      <c r="E13" s="8" t="s">
        <v>1362</v>
      </c>
      <c r="F13" s="8" t="s">
        <v>1757</v>
      </c>
      <c r="G13" s="8" t="s">
        <v>602</v>
      </c>
      <c r="H13" s="8" t="s">
        <v>632</v>
      </c>
      <c r="I13" s="8" t="s">
        <v>603</v>
      </c>
      <c r="J13" s="8" t="s">
        <v>608</v>
      </c>
      <c r="K13" s="24">
        <v>46111</v>
      </c>
      <c r="L13" s="24">
        <v>46079</v>
      </c>
      <c r="M13" s="24">
        <v>46111</v>
      </c>
      <c r="N13" s="8"/>
      <c r="O13" s="24"/>
      <c r="P13" s="8"/>
    </row>
    <row r="14" spans="1:16" x14ac:dyDescent="0.2">
      <c r="A14" s="8" t="s">
        <v>1325</v>
      </c>
      <c r="B14" s="8" t="s">
        <v>1517</v>
      </c>
      <c r="C14" s="8" t="s">
        <v>1326</v>
      </c>
      <c r="D14" s="23">
        <v>1</v>
      </c>
      <c r="E14" s="8" t="s">
        <v>1326</v>
      </c>
      <c r="F14" s="8" t="s">
        <v>1518</v>
      </c>
      <c r="G14" s="8" t="s">
        <v>602</v>
      </c>
      <c r="H14" s="8" t="s">
        <v>632</v>
      </c>
      <c r="I14" s="8" t="s">
        <v>603</v>
      </c>
      <c r="J14" s="8" t="s">
        <v>608</v>
      </c>
      <c r="K14" s="24">
        <v>46111</v>
      </c>
      <c r="L14" s="24">
        <v>46098</v>
      </c>
      <c r="M14" s="24">
        <v>46098</v>
      </c>
      <c r="N14" s="8" t="s">
        <v>1515</v>
      </c>
      <c r="O14" s="24"/>
      <c r="P14" s="8"/>
    </row>
    <row r="15" spans="1:16" x14ac:dyDescent="0.2">
      <c r="A15" s="8" t="s">
        <v>1259</v>
      </c>
      <c r="B15" s="8" t="s">
        <v>1304</v>
      </c>
      <c r="C15" s="8" t="s">
        <v>1137</v>
      </c>
      <c r="D15" s="23">
        <v>1</v>
      </c>
      <c r="E15" s="8" t="s">
        <v>1137</v>
      </c>
      <c r="F15" s="8" t="s">
        <v>1305</v>
      </c>
      <c r="G15" s="8" t="s">
        <v>602</v>
      </c>
      <c r="H15" s="8" t="s">
        <v>632</v>
      </c>
      <c r="I15" s="8" t="s">
        <v>603</v>
      </c>
      <c r="J15" s="8" t="s">
        <v>608</v>
      </c>
      <c r="K15" s="24">
        <v>46111</v>
      </c>
      <c r="L15" s="24">
        <v>46065</v>
      </c>
      <c r="M15" s="24">
        <v>46069</v>
      </c>
      <c r="N15" s="8" t="s">
        <v>1306</v>
      </c>
      <c r="O15" s="24">
        <v>58805</v>
      </c>
      <c r="P15" s="8" t="s">
        <v>1298</v>
      </c>
    </row>
    <row r="16" spans="1:16" x14ac:dyDescent="0.2">
      <c r="A16" s="8" t="s">
        <v>1307</v>
      </c>
      <c r="B16" s="8" t="s">
        <v>1302</v>
      </c>
      <c r="C16" s="8" t="s">
        <v>1293</v>
      </c>
      <c r="D16" s="23">
        <v>1</v>
      </c>
      <c r="E16" s="8" t="s">
        <v>1293</v>
      </c>
      <c r="F16" s="8" t="s">
        <v>1308</v>
      </c>
      <c r="G16" s="8" t="s">
        <v>602</v>
      </c>
      <c r="H16" s="8" t="s">
        <v>632</v>
      </c>
      <c r="I16" s="8" t="s">
        <v>603</v>
      </c>
      <c r="J16" s="8" t="s">
        <v>608</v>
      </c>
      <c r="K16" s="24">
        <v>46111</v>
      </c>
      <c r="L16" s="24">
        <v>46056</v>
      </c>
      <c r="M16" s="24">
        <v>46056</v>
      </c>
      <c r="N16" s="8"/>
      <c r="O16" s="24"/>
      <c r="P16" s="8"/>
    </row>
    <row r="17" spans="1:16" x14ac:dyDescent="0.2">
      <c r="A17" s="8" t="s">
        <v>648</v>
      </c>
      <c r="B17" s="8" t="s">
        <v>649</v>
      </c>
      <c r="C17" s="8" t="s">
        <v>650</v>
      </c>
      <c r="D17" s="23">
        <v>1</v>
      </c>
      <c r="E17" s="8" t="s">
        <v>651</v>
      </c>
      <c r="F17" s="8" t="s">
        <v>652</v>
      </c>
      <c r="G17" s="8" t="s">
        <v>602</v>
      </c>
      <c r="H17" s="8" t="s">
        <v>653</v>
      </c>
      <c r="I17" s="8" t="s">
        <v>603</v>
      </c>
      <c r="J17" s="8" t="s">
        <v>608</v>
      </c>
      <c r="K17" s="24">
        <v>46100</v>
      </c>
      <c r="L17" s="24">
        <v>45944</v>
      </c>
      <c r="M17" s="24">
        <v>45948</v>
      </c>
      <c r="N17" s="8" t="s">
        <v>654</v>
      </c>
      <c r="O17" s="24"/>
      <c r="P17" s="8"/>
    </row>
    <row r="18" spans="1:16" x14ac:dyDescent="0.2">
      <c r="A18" s="8" t="s">
        <v>655</v>
      </c>
      <c r="B18" s="8" t="s">
        <v>656</v>
      </c>
      <c r="C18" s="8" t="s">
        <v>21</v>
      </c>
      <c r="D18" s="23">
        <v>1</v>
      </c>
      <c r="E18" s="8" t="s">
        <v>657</v>
      </c>
      <c r="F18" s="8" t="s">
        <v>658</v>
      </c>
      <c r="G18" s="8" t="s">
        <v>602</v>
      </c>
      <c r="H18" s="8" t="s">
        <v>653</v>
      </c>
      <c r="I18" s="8" t="s">
        <v>603</v>
      </c>
      <c r="J18" s="8" t="s">
        <v>608</v>
      </c>
      <c r="K18" s="24">
        <v>46100</v>
      </c>
      <c r="L18" s="24">
        <v>45478</v>
      </c>
      <c r="M18" s="24">
        <v>45478</v>
      </c>
      <c r="N18" s="8" t="s">
        <v>659</v>
      </c>
      <c r="O18" s="24"/>
      <c r="P18" s="8"/>
    </row>
    <row r="19" spans="1:16" x14ac:dyDescent="0.2">
      <c r="A19" s="8" t="s">
        <v>660</v>
      </c>
      <c r="B19" s="8" t="s">
        <v>656</v>
      </c>
      <c r="C19" s="8" t="s">
        <v>22</v>
      </c>
      <c r="D19" s="23">
        <v>1</v>
      </c>
      <c r="E19" s="8" t="s">
        <v>661</v>
      </c>
      <c r="F19" s="8" t="s">
        <v>662</v>
      </c>
      <c r="G19" s="8" t="s">
        <v>602</v>
      </c>
      <c r="H19" s="8" t="s">
        <v>653</v>
      </c>
      <c r="I19" s="8" t="s">
        <v>603</v>
      </c>
      <c r="J19" s="8" t="s">
        <v>608</v>
      </c>
      <c r="K19" s="24">
        <v>46100</v>
      </c>
      <c r="L19" s="24">
        <v>45478</v>
      </c>
      <c r="M19" s="24">
        <v>45478</v>
      </c>
      <c r="N19" s="8" t="s">
        <v>659</v>
      </c>
      <c r="O19" s="24"/>
      <c r="P19" s="8"/>
    </row>
    <row r="20" spans="1:16" x14ac:dyDescent="0.2">
      <c r="A20" s="8" t="s">
        <v>663</v>
      </c>
      <c r="B20" s="8" t="s">
        <v>656</v>
      </c>
      <c r="C20" s="8" t="s">
        <v>23</v>
      </c>
      <c r="D20" s="23">
        <v>1</v>
      </c>
      <c r="E20" s="8" t="s">
        <v>664</v>
      </c>
      <c r="F20" s="8" t="s">
        <v>665</v>
      </c>
      <c r="G20" s="8" t="s">
        <v>602</v>
      </c>
      <c r="H20" s="8" t="s">
        <v>653</v>
      </c>
      <c r="I20" s="8" t="s">
        <v>603</v>
      </c>
      <c r="J20" s="8" t="s">
        <v>608</v>
      </c>
      <c r="K20" s="24">
        <v>46100</v>
      </c>
      <c r="L20" s="24">
        <v>45478</v>
      </c>
      <c r="M20" s="24">
        <v>45478</v>
      </c>
      <c r="N20" s="8" t="s">
        <v>659</v>
      </c>
      <c r="O20" s="24"/>
      <c r="P20" s="8"/>
    </row>
    <row r="21" spans="1:16" x14ac:dyDescent="0.2">
      <c r="A21" s="8" t="s">
        <v>666</v>
      </c>
      <c r="B21" s="8" t="s">
        <v>656</v>
      </c>
      <c r="C21" s="8" t="s">
        <v>24</v>
      </c>
      <c r="D21" s="23">
        <v>1</v>
      </c>
      <c r="E21" s="8" t="s">
        <v>667</v>
      </c>
      <c r="F21" s="8" t="s">
        <v>668</v>
      </c>
      <c r="G21" s="8" t="s">
        <v>602</v>
      </c>
      <c r="H21" s="8" t="s">
        <v>653</v>
      </c>
      <c r="I21" s="8" t="s">
        <v>603</v>
      </c>
      <c r="J21" s="8" t="s">
        <v>608</v>
      </c>
      <c r="K21" s="24">
        <v>46100</v>
      </c>
      <c r="L21" s="24">
        <v>45478</v>
      </c>
      <c r="M21" s="24">
        <v>45478</v>
      </c>
      <c r="N21" s="8" t="s">
        <v>659</v>
      </c>
      <c r="O21" s="24"/>
      <c r="P21" s="8"/>
    </row>
    <row r="22" spans="1:16" x14ac:dyDescent="0.2">
      <c r="A22" s="8" t="s">
        <v>1519</v>
      </c>
      <c r="B22" s="8" t="s">
        <v>1520</v>
      </c>
      <c r="C22" s="8" t="s">
        <v>55</v>
      </c>
      <c r="D22" s="23">
        <v>1</v>
      </c>
      <c r="E22" s="8" t="s">
        <v>1521</v>
      </c>
      <c r="F22" s="8" t="s">
        <v>1522</v>
      </c>
      <c r="G22" s="8" t="s">
        <v>602</v>
      </c>
      <c r="H22" s="8" t="s">
        <v>669</v>
      </c>
      <c r="I22" s="8" t="s">
        <v>603</v>
      </c>
      <c r="J22" s="8" t="s">
        <v>608</v>
      </c>
      <c r="K22" s="24">
        <v>46111</v>
      </c>
      <c r="L22" s="24">
        <v>46101</v>
      </c>
      <c r="M22" s="24">
        <v>46107</v>
      </c>
      <c r="N22" s="8" t="s">
        <v>1523</v>
      </c>
      <c r="O22" s="24">
        <v>46266</v>
      </c>
      <c r="P22" s="8" t="s">
        <v>1524</v>
      </c>
    </row>
    <row r="23" spans="1:16" x14ac:dyDescent="0.2">
      <c r="A23" s="8" t="s">
        <v>1525</v>
      </c>
      <c r="B23" s="8" t="s">
        <v>1526</v>
      </c>
      <c r="C23" s="8" t="s">
        <v>1527</v>
      </c>
      <c r="D23" s="23">
        <v>1</v>
      </c>
      <c r="E23" s="8" t="s">
        <v>1527</v>
      </c>
      <c r="F23" s="8" t="s">
        <v>1528</v>
      </c>
      <c r="G23" s="8" t="s">
        <v>602</v>
      </c>
      <c r="H23" s="8" t="s">
        <v>670</v>
      </c>
      <c r="I23" s="8" t="s">
        <v>603</v>
      </c>
      <c r="J23" s="8" t="s">
        <v>608</v>
      </c>
      <c r="K23" s="24">
        <v>46107</v>
      </c>
      <c r="L23" s="24">
        <v>46101</v>
      </c>
      <c r="M23" s="24">
        <v>46107</v>
      </c>
      <c r="N23" s="8" t="s">
        <v>1523</v>
      </c>
      <c r="O23" s="24">
        <v>46266</v>
      </c>
      <c r="P23" s="8" t="s">
        <v>1524</v>
      </c>
    </row>
    <row r="24" spans="1:16" x14ac:dyDescent="0.2">
      <c r="A24" s="8" t="s">
        <v>1529</v>
      </c>
      <c r="B24" s="8" t="s">
        <v>1530</v>
      </c>
      <c r="C24" s="8" t="s">
        <v>1531</v>
      </c>
      <c r="D24" s="23">
        <v>1</v>
      </c>
      <c r="E24" s="8" t="s">
        <v>1531</v>
      </c>
      <c r="F24" s="8" t="s">
        <v>1532</v>
      </c>
      <c r="G24" s="8" t="s">
        <v>602</v>
      </c>
      <c r="H24" s="8" t="s">
        <v>670</v>
      </c>
      <c r="I24" s="8" t="s">
        <v>603</v>
      </c>
      <c r="J24" s="8" t="s">
        <v>608</v>
      </c>
      <c r="K24" s="24">
        <v>46107</v>
      </c>
      <c r="L24" s="24">
        <v>46101</v>
      </c>
      <c r="M24" s="24">
        <v>46107</v>
      </c>
      <c r="N24" s="8" t="s">
        <v>1523</v>
      </c>
      <c r="O24" s="24">
        <v>46266</v>
      </c>
      <c r="P24" s="8" t="s">
        <v>1524</v>
      </c>
    </row>
    <row r="25" spans="1:16" x14ac:dyDescent="0.2">
      <c r="A25" s="8" t="s">
        <v>678</v>
      </c>
      <c r="B25" s="8" t="s">
        <v>1310</v>
      </c>
      <c r="C25" s="8" t="s">
        <v>387</v>
      </c>
      <c r="D25" s="23">
        <v>1</v>
      </c>
      <c r="E25" s="8" t="s">
        <v>387</v>
      </c>
      <c r="F25" s="8" t="s">
        <v>1311</v>
      </c>
      <c r="G25" s="8" t="s">
        <v>602</v>
      </c>
      <c r="H25" s="8" t="s">
        <v>1027</v>
      </c>
      <c r="I25" s="8" t="s">
        <v>603</v>
      </c>
      <c r="J25" s="8" t="s">
        <v>608</v>
      </c>
      <c r="K25" s="24">
        <v>46100</v>
      </c>
      <c r="L25" s="24">
        <v>46069</v>
      </c>
      <c r="M25" s="24">
        <v>46069</v>
      </c>
      <c r="N25" s="8"/>
      <c r="O25" s="24"/>
      <c r="P25" s="8"/>
    </row>
    <row r="26" spans="1:16" x14ac:dyDescent="0.2">
      <c r="A26" s="8" t="s">
        <v>671</v>
      </c>
      <c r="B26" s="8" t="s">
        <v>672</v>
      </c>
      <c r="C26" s="8" t="s">
        <v>81</v>
      </c>
      <c r="D26" s="23">
        <v>1</v>
      </c>
      <c r="E26" s="8" t="s">
        <v>673</v>
      </c>
      <c r="F26" s="8" t="s">
        <v>674</v>
      </c>
      <c r="G26" s="8" t="s">
        <v>602</v>
      </c>
      <c r="H26" s="8" t="s">
        <v>675</v>
      </c>
      <c r="I26" s="8" t="s">
        <v>603</v>
      </c>
      <c r="J26" s="8" t="s">
        <v>608</v>
      </c>
      <c r="K26" s="24">
        <v>46111</v>
      </c>
      <c r="L26" s="24">
        <v>45828</v>
      </c>
      <c r="M26" s="24">
        <v>45839</v>
      </c>
      <c r="N26" s="8" t="s">
        <v>676</v>
      </c>
      <c r="O26" s="24"/>
      <c r="P26" s="8"/>
    </row>
    <row r="27" spans="1:16" x14ac:dyDescent="0.2">
      <c r="A27" s="8" t="s">
        <v>1533</v>
      </c>
      <c r="B27" s="8" t="s">
        <v>1534</v>
      </c>
      <c r="C27" s="8" t="s">
        <v>1535</v>
      </c>
      <c r="D27" s="23">
        <v>1</v>
      </c>
      <c r="E27" s="8" t="s">
        <v>1536</v>
      </c>
      <c r="F27" s="8" t="s">
        <v>1537</v>
      </c>
      <c r="G27" s="8" t="s">
        <v>602</v>
      </c>
      <c r="H27" s="8" t="s">
        <v>1005</v>
      </c>
      <c r="I27" s="8" t="s">
        <v>603</v>
      </c>
      <c r="J27" s="8" t="s">
        <v>608</v>
      </c>
      <c r="K27" s="24">
        <v>46098</v>
      </c>
      <c r="L27" s="24">
        <v>46098</v>
      </c>
      <c r="M27" s="24">
        <v>46098</v>
      </c>
      <c r="N27" s="8" t="s">
        <v>1515</v>
      </c>
      <c r="O27" s="24"/>
      <c r="P27" s="8"/>
    </row>
    <row r="28" spans="1:16" x14ac:dyDescent="0.2">
      <c r="A28" s="8" t="s">
        <v>1162</v>
      </c>
      <c r="B28" s="8" t="s">
        <v>1163</v>
      </c>
      <c r="C28" s="8" t="s">
        <v>71</v>
      </c>
      <c r="D28" s="23">
        <v>1</v>
      </c>
      <c r="E28" s="8" t="s">
        <v>1164</v>
      </c>
      <c r="F28" s="8" t="s">
        <v>1165</v>
      </c>
      <c r="G28" s="8" t="s">
        <v>602</v>
      </c>
      <c r="H28" s="8" t="s">
        <v>1026</v>
      </c>
      <c r="I28" s="8" t="s">
        <v>603</v>
      </c>
      <c r="J28" s="8" t="s">
        <v>608</v>
      </c>
      <c r="K28" s="24">
        <v>46093</v>
      </c>
      <c r="L28" s="24">
        <v>45972</v>
      </c>
      <c r="M28" s="24">
        <v>46091</v>
      </c>
      <c r="N28" s="8" t="s">
        <v>1161</v>
      </c>
      <c r="O28" s="24">
        <v>47126</v>
      </c>
      <c r="P28" s="8" t="s">
        <v>1312</v>
      </c>
    </row>
    <row r="29" spans="1:16" x14ac:dyDescent="0.2">
      <c r="A29" s="8" t="s">
        <v>678</v>
      </c>
      <c r="B29" s="8" t="s">
        <v>679</v>
      </c>
      <c r="C29" s="8" t="s">
        <v>387</v>
      </c>
      <c r="D29" s="23">
        <v>1</v>
      </c>
      <c r="E29" s="8" t="s">
        <v>387</v>
      </c>
      <c r="F29" s="8" t="s">
        <v>680</v>
      </c>
      <c r="G29" s="8" t="s">
        <v>602</v>
      </c>
      <c r="H29" s="8" t="s">
        <v>1112</v>
      </c>
      <c r="I29" s="8" t="s">
        <v>603</v>
      </c>
      <c r="J29" s="8" t="s">
        <v>608</v>
      </c>
      <c r="K29" s="24">
        <v>46086</v>
      </c>
      <c r="L29" s="24">
        <v>45916</v>
      </c>
      <c r="M29" s="24">
        <v>46050</v>
      </c>
      <c r="N29" s="8" t="s">
        <v>681</v>
      </c>
      <c r="O29" s="24">
        <v>55044</v>
      </c>
      <c r="P29" s="8" t="s">
        <v>1313</v>
      </c>
    </row>
    <row r="30" spans="1:16" x14ac:dyDescent="0.2">
      <c r="A30" s="8" t="s">
        <v>1166</v>
      </c>
      <c r="B30" s="8" t="s">
        <v>1167</v>
      </c>
      <c r="C30" s="8" t="s">
        <v>1122</v>
      </c>
      <c r="D30" s="23">
        <v>1</v>
      </c>
      <c r="E30" s="8" t="s">
        <v>1168</v>
      </c>
      <c r="F30" s="8" t="s">
        <v>1169</v>
      </c>
      <c r="G30" s="8" t="s">
        <v>602</v>
      </c>
      <c r="H30" s="8" t="s">
        <v>1170</v>
      </c>
      <c r="I30" s="8" t="s">
        <v>603</v>
      </c>
      <c r="J30" s="8" t="s">
        <v>608</v>
      </c>
      <c r="K30" s="24">
        <v>46099</v>
      </c>
      <c r="L30" s="24">
        <v>45995</v>
      </c>
      <c r="M30" s="24">
        <v>45996</v>
      </c>
      <c r="N30" s="8"/>
      <c r="O30" s="24"/>
      <c r="P30" s="8"/>
    </row>
    <row r="31" spans="1:16" x14ac:dyDescent="0.2">
      <c r="A31" s="8" t="s">
        <v>842</v>
      </c>
      <c r="B31" s="8" t="s">
        <v>785</v>
      </c>
      <c r="C31" s="8" t="s">
        <v>404</v>
      </c>
      <c r="D31" s="23">
        <v>1</v>
      </c>
      <c r="E31" s="8" t="s">
        <v>404</v>
      </c>
      <c r="F31" s="8" t="s">
        <v>1314</v>
      </c>
      <c r="G31" s="8" t="s">
        <v>602</v>
      </c>
      <c r="H31" s="8" t="s">
        <v>1170</v>
      </c>
      <c r="I31" s="8" t="s">
        <v>603</v>
      </c>
      <c r="J31" s="8" t="s">
        <v>608</v>
      </c>
      <c r="K31" s="24">
        <v>46099</v>
      </c>
      <c r="L31" s="24">
        <v>46079</v>
      </c>
      <c r="M31" s="24">
        <v>46079</v>
      </c>
      <c r="N31" s="8"/>
      <c r="O31" s="24"/>
      <c r="P31" s="8"/>
    </row>
    <row r="32" spans="1:16" x14ac:dyDescent="0.2">
      <c r="A32" s="8" t="s">
        <v>860</v>
      </c>
      <c r="B32" s="8" t="s">
        <v>861</v>
      </c>
      <c r="C32" s="8" t="s">
        <v>410</v>
      </c>
      <c r="D32" s="23">
        <v>1</v>
      </c>
      <c r="E32" s="8" t="s">
        <v>410</v>
      </c>
      <c r="F32" s="8" t="s">
        <v>862</v>
      </c>
      <c r="G32" s="8" t="s">
        <v>602</v>
      </c>
      <c r="H32" s="8" t="s">
        <v>1170</v>
      </c>
      <c r="I32" s="8" t="s">
        <v>603</v>
      </c>
      <c r="J32" s="8" t="s">
        <v>608</v>
      </c>
      <c r="K32" s="24">
        <v>46099</v>
      </c>
      <c r="L32" s="24">
        <v>45916</v>
      </c>
      <c r="M32" s="24">
        <v>46050</v>
      </c>
      <c r="N32" s="8" t="s">
        <v>681</v>
      </c>
      <c r="O32" s="24">
        <v>55044</v>
      </c>
      <c r="P32" s="8" t="s">
        <v>1315</v>
      </c>
    </row>
    <row r="33" spans="1:16" x14ac:dyDescent="0.2">
      <c r="A33" s="8" t="s">
        <v>1171</v>
      </c>
      <c r="B33" s="8" t="s">
        <v>1172</v>
      </c>
      <c r="C33" s="8" t="s">
        <v>1152</v>
      </c>
      <c r="D33" s="23">
        <v>1</v>
      </c>
      <c r="E33" s="8" t="s">
        <v>1152</v>
      </c>
      <c r="F33" s="8" t="s">
        <v>1173</v>
      </c>
      <c r="G33" s="8" t="s">
        <v>602</v>
      </c>
      <c r="H33" s="8" t="s">
        <v>1170</v>
      </c>
      <c r="I33" s="8" t="s">
        <v>603</v>
      </c>
      <c r="J33" s="8" t="s">
        <v>608</v>
      </c>
      <c r="K33" s="24">
        <v>46099</v>
      </c>
      <c r="L33" s="24">
        <v>45995</v>
      </c>
      <c r="M33" s="24">
        <v>45996</v>
      </c>
      <c r="N33" s="8"/>
      <c r="O33" s="24"/>
      <c r="P33" s="8"/>
    </row>
    <row r="34" spans="1:16" x14ac:dyDescent="0.2">
      <c r="A34" s="8" t="s">
        <v>682</v>
      </c>
      <c r="B34" s="8" t="s">
        <v>683</v>
      </c>
      <c r="C34" s="8" t="s">
        <v>31</v>
      </c>
      <c r="D34" s="23">
        <v>1</v>
      </c>
      <c r="E34" s="8" t="s">
        <v>684</v>
      </c>
      <c r="F34" s="8" t="s">
        <v>685</v>
      </c>
      <c r="G34" s="8" t="s">
        <v>602</v>
      </c>
      <c r="H34" s="8" t="s">
        <v>686</v>
      </c>
      <c r="I34" s="8" t="s">
        <v>603</v>
      </c>
      <c r="J34" s="8" t="s">
        <v>608</v>
      </c>
      <c r="K34" s="24">
        <v>46111</v>
      </c>
      <c r="L34" s="24">
        <v>45435</v>
      </c>
      <c r="M34" s="24">
        <v>45435</v>
      </c>
      <c r="N34" s="8" t="s">
        <v>687</v>
      </c>
      <c r="O34" s="24"/>
      <c r="P34" s="8"/>
    </row>
    <row r="35" spans="1:16" x14ac:dyDescent="0.2">
      <c r="A35" s="8" t="s">
        <v>780</v>
      </c>
      <c r="B35" s="8" t="s">
        <v>774</v>
      </c>
      <c r="C35" s="8" t="s">
        <v>66</v>
      </c>
      <c r="D35" s="23">
        <v>1</v>
      </c>
      <c r="E35" s="8" t="s">
        <v>66</v>
      </c>
      <c r="F35" s="8" t="s">
        <v>781</v>
      </c>
      <c r="G35" s="8" t="s">
        <v>602</v>
      </c>
      <c r="H35" s="8" t="s">
        <v>686</v>
      </c>
      <c r="I35" s="8" t="s">
        <v>603</v>
      </c>
      <c r="J35" s="8" t="s">
        <v>608</v>
      </c>
      <c r="K35" s="24">
        <v>46111</v>
      </c>
      <c r="L35" s="24">
        <v>45457</v>
      </c>
      <c r="M35" s="24">
        <v>45485</v>
      </c>
      <c r="N35" s="8" t="s">
        <v>776</v>
      </c>
      <c r="O35" s="24"/>
      <c r="P35" s="8"/>
    </row>
    <row r="36" spans="1:16" x14ac:dyDescent="0.2">
      <c r="A36" s="8" t="s">
        <v>688</v>
      </c>
      <c r="B36" s="8" t="s">
        <v>689</v>
      </c>
      <c r="C36" s="8" t="s">
        <v>36</v>
      </c>
      <c r="D36" s="23">
        <v>1</v>
      </c>
      <c r="E36" s="8" t="s">
        <v>690</v>
      </c>
      <c r="F36" s="8" t="s">
        <v>691</v>
      </c>
      <c r="G36" s="8" t="s">
        <v>602</v>
      </c>
      <c r="H36" s="8" t="s">
        <v>686</v>
      </c>
      <c r="I36" s="8" t="s">
        <v>603</v>
      </c>
      <c r="J36" s="8" t="s">
        <v>608</v>
      </c>
      <c r="K36" s="24">
        <v>46111</v>
      </c>
      <c r="L36" s="24">
        <v>45373</v>
      </c>
      <c r="M36" s="24">
        <v>45485</v>
      </c>
      <c r="N36" s="8" t="s">
        <v>692</v>
      </c>
      <c r="O36" s="24"/>
      <c r="P36" s="8"/>
    </row>
    <row r="37" spans="1:16" x14ac:dyDescent="0.2">
      <c r="A37" s="8" t="s">
        <v>688</v>
      </c>
      <c r="B37" s="8" t="s">
        <v>683</v>
      </c>
      <c r="C37" s="8" t="s">
        <v>36</v>
      </c>
      <c r="D37" s="23">
        <v>1</v>
      </c>
      <c r="E37" s="8" t="s">
        <v>690</v>
      </c>
      <c r="F37" s="8" t="s">
        <v>693</v>
      </c>
      <c r="G37" s="8" t="s">
        <v>602</v>
      </c>
      <c r="H37" s="8" t="s">
        <v>686</v>
      </c>
      <c r="I37" s="8" t="s">
        <v>603</v>
      </c>
      <c r="J37" s="8" t="s">
        <v>608</v>
      </c>
      <c r="K37" s="24">
        <v>46111</v>
      </c>
      <c r="L37" s="24">
        <v>45435</v>
      </c>
      <c r="M37" s="24">
        <v>45435</v>
      </c>
      <c r="N37" s="8" t="s">
        <v>687</v>
      </c>
      <c r="O37" s="24"/>
      <c r="P37" s="8"/>
    </row>
    <row r="38" spans="1:16" x14ac:dyDescent="0.2">
      <c r="A38" s="8" t="s">
        <v>688</v>
      </c>
      <c r="B38" s="8" t="s">
        <v>694</v>
      </c>
      <c r="C38" s="8" t="s">
        <v>36</v>
      </c>
      <c r="D38" s="23">
        <v>1</v>
      </c>
      <c r="E38" s="8" t="s">
        <v>690</v>
      </c>
      <c r="F38" s="8" t="s">
        <v>695</v>
      </c>
      <c r="G38" s="8" t="s">
        <v>602</v>
      </c>
      <c r="H38" s="8" t="s">
        <v>686</v>
      </c>
      <c r="I38" s="8" t="s">
        <v>603</v>
      </c>
      <c r="J38" s="8" t="s">
        <v>608</v>
      </c>
      <c r="K38" s="24">
        <v>46111</v>
      </c>
      <c r="L38" s="24">
        <v>45450</v>
      </c>
      <c r="M38" s="24">
        <v>45454</v>
      </c>
      <c r="N38" s="8" t="s">
        <v>696</v>
      </c>
      <c r="O38" s="24"/>
      <c r="P38" s="8"/>
    </row>
    <row r="39" spans="1:16" x14ac:dyDescent="0.2">
      <c r="A39" s="8" t="s">
        <v>697</v>
      </c>
      <c r="B39" s="8" t="s">
        <v>689</v>
      </c>
      <c r="C39" s="8" t="s">
        <v>37</v>
      </c>
      <c r="D39" s="23">
        <v>1</v>
      </c>
      <c r="E39" s="8" t="s">
        <v>698</v>
      </c>
      <c r="F39" s="8" t="s">
        <v>699</v>
      </c>
      <c r="G39" s="8" t="s">
        <v>602</v>
      </c>
      <c r="H39" s="8" t="s">
        <v>686</v>
      </c>
      <c r="I39" s="8" t="s">
        <v>603</v>
      </c>
      <c r="J39" s="8" t="s">
        <v>608</v>
      </c>
      <c r="K39" s="24">
        <v>46111</v>
      </c>
      <c r="L39" s="24">
        <v>45373</v>
      </c>
      <c r="M39" s="24">
        <v>45485</v>
      </c>
      <c r="N39" s="8" t="s">
        <v>692</v>
      </c>
      <c r="O39" s="24"/>
      <c r="P39" s="8"/>
    </row>
    <row r="40" spans="1:16" x14ac:dyDescent="0.2">
      <c r="A40" s="8" t="s">
        <v>697</v>
      </c>
      <c r="B40" s="8" t="s">
        <v>683</v>
      </c>
      <c r="C40" s="8" t="s">
        <v>37</v>
      </c>
      <c r="D40" s="23">
        <v>1</v>
      </c>
      <c r="E40" s="8" t="s">
        <v>698</v>
      </c>
      <c r="F40" s="8" t="s">
        <v>700</v>
      </c>
      <c r="G40" s="8" t="s">
        <v>602</v>
      </c>
      <c r="H40" s="8" t="s">
        <v>686</v>
      </c>
      <c r="I40" s="8" t="s">
        <v>603</v>
      </c>
      <c r="J40" s="8" t="s">
        <v>608</v>
      </c>
      <c r="K40" s="24">
        <v>46111</v>
      </c>
      <c r="L40" s="24">
        <v>45435</v>
      </c>
      <c r="M40" s="24">
        <v>45435</v>
      </c>
      <c r="N40" s="8" t="s">
        <v>687</v>
      </c>
      <c r="O40" s="24"/>
      <c r="P40" s="8"/>
    </row>
    <row r="41" spans="1:16" x14ac:dyDescent="0.2">
      <c r="A41" s="8" t="s">
        <v>697</v>
      </c>
      <c r="B41" s="8" t="s">
        <v>694</v>
      </c>
      <c r="C41" s="8" t="s">
        <v>37</v>
      </c>
      <c r="D41" s="23">
        <v>1</v>
      </c>
      <c r="E41" s="8" t="s">
        <v>698</v>
      </c>
      <c r="F41" s="8" t="s">
        <v>701</v>
      </c>
      <c r="G41" s="8" t="s">
        <v>602</v>
      </c>
      <c r="H41" s="8" t="s">
        <v>686</v>
      </c>
      <c r="I41" s="8" t="s">
        <v>603</v>
      </c>
      <c r="J41" s="8" t="s">
        <v>608</v>
      </c>
      <c r="K41" s="24">
        <v>46111</v>
      </c>
      <c r="L41" s="24">
        <v>45450</v>
      </c>
      <c r="M41" s="24">
        <v>45454</v>
      </c>
      <c r="N41" s="8" t="s">
        <v>696</v>
      </c>
      <c r="O41" s="24"/>
      <c r="P41" s="8"/>
    </row>
    <row r="42" spans="1:16" x14ac:dyDescent="0.2">
      <c r="A42" s="8" t="s">
        <v>702</v>
      </c>
      <c r="B42" s="8" t="s">
        <v>703</v>
      </c>
      <c r="C42" s="8" t="s">
        <v>38</v>
      </c>
      <c r="D42" s="23">
        <v>1</v>
      </c>
      <c r="E42" s="8" t="s">
        <v>704</v>
      </c>
      <c r="F42" s="8" t="s">
        <v>705</v>
      </c>
      <c r="G42" s="8" t="s">
        <v>602</v>
      </c>
      <c r="H42" s="8" t="s">
        <v>686</v>
      </c>
      <c r="I42" s="8" t="s">
        <v>603</v>
      </c>
      <c r="J42" s="8" t="s">
        <v>608</v>
      </c>
      <c r="K42" s="24">
        <v>46111</v>
      </c>
      <c r="L42" s="24">
        <v>45401</v>
      </c>
      <c r="M42" s="24">
        <v>45485</v>
      </c>
      <c r="N42" s="8" t="s">
        <v>703</v>
      </c>
      <c r="O42" s="24"/>
      <c r="P42" s="8"/>
    </row>
    <row r="43" spans="1:16" x14ac:dyDescent="0.2">
      <c r="A43" s="8" t="s">
        <v>702</v>
      </c>
      <c r="B43" s="8" t="s">
        <v>706</v>
      </c>
      <c r="C43" s="8" t="s">
        <v>38</v>
      </c>
      <c r="D43" s="23">
        <v>1</v>
      </c>
      <c r="E43" s="8" t="s">
        <v>704</v>
      </c>
      <c r="F43" s="8" t="s">
        <v>707</v>
      </c>
      <c r="G43" s="8" t="s">
        <v>602</v>
      </c>
      <c r="H43" s="8" t="s">
        <v>686</v>
      </c>
      <c r="I43" s="8" t="s">
        <v>603</v>
      </c>
      <c r="J43" s="8" t="s">
        <v>608</v>
      </c>
      <c r="K43" s="24">
        <v>46111</v>
      </c>
      <c r="L43" s="24">
        <v>45407</v>
      </c>
      <c r="M43" s="24">
        <v>45407</v>
      </c>
      <c r="N43" s="8" t="s">
        <v>706</v>
      </c>
      <c r="O43" s="24"/>
      <c r="P43" s="8"/>
    </row>
    <row r="44" spans="1:16" x14ac:dyDescent="0.2">
      <c r="A44" s="8" t="s">
        <v>708</v>
      </c>
      <c r="B44" s="8" t="s">
        <v>694</v>
      </c>
      <c r="C44" s="8" t="s">
        <v>40</v>
      </c>
      <c r="D44" s="23">
        <v>1</v>
      </c>
      <c r="E44" s="8" t="s">
        <v>709</v>
      </c>
      <c r="F44" s="8" t="s">
        <v>710</v>
      </c>
      <c r="G44" s="8" t="s">
        <v>602</v>
      </c>
      <c r="H44" s="8" t="s">
        <v>686</v>
      </c>
      <c r="I44" s="8" t="s">
        <v>603</v>
      </c>
      <c r="J44" s="8" t="s">
        <v>608</v>
      </c>
      <c r="K44" s="24">
        <v>46111</v>
      </c>
      <c r="L44" s="24">
        <v>45450</v>
      </c>
      <c r="M44" s="24">
        <v>45454</v>
      </c>
      <c r="N44" s="8" t="s">
        <v>694</v>
      </c>
      <c r="O44" s="24"/>
      <c r="P44" s="8"/>
    </row>
    <row r="45" spans="1:16" x14ac:dyDescent="0.2">
      <c r="A45" s="8" t="s">
        <v>735</v>
      </c>
      <c r="B45" s="8" t="s">
        <v>736</v>
      </c>
      <c r="C45" s="8" t="s">
        <v>390</v>
      </c>
      <c r="D45" s="23">
        <v>1</v>
      </c>
      <c r="E45" s="8" t="s">
        <v>390</v>
      </c>
      <c r="F45" s="8" t="s">
        <v>737</v>
      </c>
      <c r="G45" s="8" t="s">
        <v>602</v>
      </c>
      <c r="H45" s="8" t="s">
        <v>711</v>
      </c>
      <c r="I45" s="8" t="s">
        <v>603</v>
      </c>
      <c r="J45" s="8" t="s">
        <v>608</v>
      </c>
      <c r="K45" s="24">
        <v>46107</v>
      </c>
      <c r="L45" s="24">
        <v>45918</v>
      </c>
      <c r="M45" s="24">
        <v>45966</v>
      </c>
      <c r="N45" s="8" t="s">
        <v>739</v>
      </c>
      <c r="O45" s="24">
        <v>55048</v>
      </c>
      <c r="P45" s="8" t="s">
        <v>1316</v>
      </c>
    </row>
    <row r="46" spans="1:16" x14ac:dyDescent="0.2">
      <c r="A46" s="8" t="s">
        <v>715</v>
      </c>
      <c r="B46" s="8" t="s">
        <v>716</v>
      </c>
      <c r="C46" s="8" t="s">
        <v>385</v>
      </c>
      <c r="D46" s="23">
        <v>1</v>
      </c>
      <c r="E46" s="8" t="s">
        <v>385</v>
      </c>
      <c r="F46" s="8" t="s">
        <v>717</v>
      </c>
      <c r="G46" s="8" t="s">
        <v>602</v>
      </c>
      <c r="H46" s="8" t="s">
        <v>711</v>
      </c>
      <c r="I46" s="8" t="s">
        <v>603</v>
      </c>
      <c r="J46" s="8" t="s">
        <v>608</v>
      </c>
      <c r="K46" s="24">
        <v>46107</v>
      </c>
      <c r="L46" s="24">
        <v>45924</v>
      </c>
      <c r="M46" s="24">
        <v>45948</v>
      </c>
      <c r="N46" s="8" t="s">
        <v>622</v>
      </c>
      <c r="O46" s="24">
        <v>55128</v>
      </c>
      <c r="P46" s="8" t="s">
        <v>1317</v>
      </c>
    </row>
    <row r="47" spans="1:16" x14ac:dyDescent="0.2">
      <c r="A47" s="8" t="s">
        <v>1320</v>
      </c>
      <c r="B47" s="8" t="s">
        <v>1321</v>
      </c>
      <c r="C47" s="8" t="s">
        <v>1322</v>
      </c>
      <c r="D47" s="23">
        <v>1</v>
      </c>
      <c r="E47" s="8" t="s">
        <v>1322</v>
      </c>
      <c r="F47" s="8" t="s">
        <v>1323</v>
      </c>
      <c r="G47" s="8" t="s">
        <v>602</v>
      </c>
      <c r="H47" s="8" t="s">
        <v>1193</v>
      </c>
      <c r="I47" s="8" t="s">
        <v>603</v>
      </c>
      <c r="J47" s="8" t="s">
        <v>608</v>
      </c>
      <c r="K47" s="24">
        <v>46106</v>
      </c>
      <c r="L47" s="24">
        <v>46073</v>
      </c>
      <c r="M47" s="24">
        <v>46079</v>
      </c>
      <c r="N47" s="8" t="s">
        <v>1300</v>
      </c>
      <c r="O47" s="24">
        <v>58805</v>
      </c>
      <c r="P47" s="8" t="s">
        <v>1298</v>
      </c>
    </row>
    <row r="48" spans="1:16" x14ac:dyDescent="0.2">
      <c r="A48" s="8" t="s">
        <v>1327</v>
      </c>
      <c r="B48" s="8" t="s">
        <v>1328</v>
      </c>
      <c r="C48" s="8" t="s">
        <v>1288</v>
      </c>
      <c r="D48" s="23">
        <v>1</v>
      </c>
      <c r="E48" s="8" t="s">
        <v>1329</v>
      </c>
      <c r="F48" s="8" t="s">
        <v>1330</v>
      </c>
      <c r="G48" s="8" t="s">
        <v>602</v>
      </c>
      <c r="H48" s="8" t="s">
        <v>720</v>
      </c>
      <c r="I48" s="8" t="s">
        <v>603</v>
      </c>
      <c r="J48" s="8" t="s">
        <v>608</v>
      </c>
      <c r="K48" s="24">
        <v>46107</v>
      </c>
      <c r="L48" s="24">
        <v>46058</v>
      </c>
      <c r="M48" s="24">
        <v>46062</v>
      </c>
      <c r="N48" s="8" t="s">
        <v>1318</v>
      </c>
      <c r="O48" s="24">
        <v>46113</v>
      </c>
      <c r="P48" s="8" t="s">
        <v>1319</v>
      </c>
    </row>
    <row r="49" spans="1:16" x14ac:dyDescent="0.2">
      <c r="A49" s="8" t="s">
        <v>721</v>
      </c>
      <c r="B49" s="8" t="s">
        <v>722</v>
      </c>
      <c r="C49" s="8" t="s">
        <v>167</v>
      </c>
      <c r="D49" s="23">
        <v>1</v>
      </c>
      <c r="E49" s="8" t="s">
        <v>723</v>
      </c>
      <c r="F49" s="8" t="s">
        <v>724</v>
      </c>
      <c r="G49" s="8" t="s">
        <v>602</v>
      </c>
      <c r="H49" s="8" t="s">
        <v>720</v>
      </c>
      <c r="I49" s="8" t="s">
        <v>603</v>
      </c>
      <c r="J49" s="8" t="s">
        <v>608</v>
      </c>
      <c r="K49" s="24">
        <v>46107</v>
      </c>
      <c r="L49" s="24">
        <v>45790</v>
      </c>
      <c r="M49" s="24">
        <v>45825</v>
      </c>
      <c r="N49" s="8"/>
      <c r="O49" s="24"/>
      <c r="P49" s="8"/>
    </row>
    <row r="50" spans="1:16" x14ac:dyDescent="0.2">
      <c r="A50" s="8" t="s">
        <v>730</v>
      </c>
      <c r="B50" s="8" t="s">
        <v>631</v>
      </c>
      <c r="C50" s="8" t="s">
        <v>363</v>
      </c>
      <c r="D50" s="23">
        <v>1</v>
      </c>
      <c r="E50" s="8" t="s">
        <v>731</v>
      </c>
      <c r="F50" s="8" t="s">
        <v>732</v>
      </c>
      <c r="G50" s="8" t="s">
        <v>602</v>
      </c>
      <c r="H50" s="8" t="s">
        <v>720</v>
      </c>
      <c r="I50" s="8" t="s">
        <v>603</v>
      </c>
      <c r="J50" s="8" t="s">
        <v>608</v>
      </c>
      <c r="K50" s="24">
        <v>46107</v>
      </c>
      <c r="L50" s="24">
        <v>45861</v>
      </c>
      <c r="M50" s="24">
        <v>45966</v>
      </c>
      <c r="N50" s="8"/>
      <c r="O50" s="24"/>
      <c r="P50" s="8"/>
    </row>
    <row r="51" spans="1:16" x14ac:dyDescent="0.2">
      <c r="A51" s="8" t="s">
        <v>765</v>
      </c>
      <c r="B51" s="8" t="s">
        <v>1509</v>
      </c>
      <c r="C51" s="8" t="s">
        <v>380</v>
      </c>
      <c r="D51" s="23">
        <v>1</v>
      </c>
      <c r="E51" s="8" t="s">
        <v>380</v>
      </c>
      <c r="F51" s="8" t="s">
        <v>1538</v>
      </c>
      <c r="G51" s="8" t="s">
        <v>602</v>
      </c>
      <c r="H51" s="8" t="s">
        <v>720</v>
      </c>
      <c r="I51" s="8" t="s">
        <v>603</v>
      </c>
      <c r="J51" s="8" t="s">
        <v>608</v>
      </c>
      <c r="K51" s="24">
        <v>46107</v>
      </c>
      <c r="L51" s="24">
        <v>46083</v>
      </c>
      <c r="M51" s="24">
        <v>46091</v>
      </c>
      <c r="N51" s="8"/>
      <c r="O51" s="24"/>
      <c r="P51" s="8"/>
    </row>
    <row r="52" spans="1:16" x14ac:dyDescent="0.2">
      <c r="A52" s="8" t="s">
        <v>1331</v>
      </c>
      <c r="B52" s="8" t="s">
        <v>1332</v>
      </c>
      <c r="C52" s="8" t="s">
        <v>1333</v>
      </c>
      <c r="D52" s="23">
        <v>1</v>
      </c>
      <c r="E52" s="8" t="s">
        <v>1334</v>
      </c>
      <c r="F52" s="8" t="s">
        <v>1335</v>
      </c>
      <c r="G52" s="8" t="s">
        <v>602</v>
      </c>
      <c r="H52" s="8" t="s">
        <v>720</v>
      </c>
      <c r="I52" s="8" t="s">
        <v>603</v>
      </c>
      <c r="J52" s="8" t="s">
        <v>608</v>
      </c>
      <c r="K52" s="24">
        <v>46107</v>
      </c>
      <c r="L52" s="24">
        <v>46065</v>
      </c>
      <c r="M52" s="24">
        <v>46076</v>
      </c>
      <c r="N52" s="8" t="s">
        <v>1306</v>
      </c>
      <c r="O52" s="24"/>
      <c r="P52" s="8"/>
    </row>
    <row r="53" spans="1:16" x14ac:dyDescent="0.2">
      <c r="A53" s="8" t="s">
        <v>1331</v>
      </c>
      <c r="B53" s="8" t="s">
        <v>1509</v>
      </c>
      <c r="C53" s="8" t="s">
        <v>1333</v>
      </c>
      <c r="D53" s="23">
        <v>1</v>
      </c>
      <c r="E53" s="8" t="s">
        <v>1334</v>
      </c>
      <c r="F53" s="8" t="s">
        <v>1539</v>
      </c>
      <c r="G53" s="8" t="s">
        <v>602</v>
      </c>
      <c r="H53" s="8" t="s">
        <v>720</v>
      </c>
      <c r="I53" s="8" t="s">
        <v>603</v>
      </c>
      <c r="J53" s="8" t="s">
        <v>608</v>
      </c>
      <c r="K53" s="24">
        <v>46107</v>
      </c>
      <c r="L53" s="24">
        <v>46083</v>
      </c>
      <c r="M53" s="24">
        <v>46091</v>
      </c>
      <c r="N53" s="8"/>
      <c r="O53" s="24"/>
      <c r="P53" s="8"/>
    </row>
    <row r="54" spans="1:16" x14ac:dyDescent="0.2">
      <c r="A54" s="8" t="s">
        <v>1540</v>
      </c>
      <c r="B54" s="8" t="s">
        <v>1541</v>
      </c>
      <c r="C54" s="8" t="s">
        <v>1542</v>
      </c>
      <c r="D54" s="23">
        <v>1</v>
      </c>
      <c r="E54" s="8" t="s">
        <v>1542</v>
      </c>
      <c r="F54" s="8" t="s">
        <v>1543</v>
      </c>
      <c r="G54" s="8" t="s">
        <v>602</v>
      </c>
      <c r="H54" s="8" t="s">
        <v>720</v>
      </c>
      <c r="I54" s="8" t="s">
        <v>603</v>
      </c>
      <c r="J54" s="8" t="s">
        <v>608</v>
      </c>
      <c r="K54" s="24">
        <v>46107</v>
      </c>
      <c r="L54" s="24">
        <v>46101</v>
      </c>
      <c r="M54" s="24">
        <v>46107</v>
      </c>
      <c r="N54" s="8" t="s">
        <v>1523</v>
      </c>
      <c r="O54" s="24">
        <v>46266</v>
      </c>
      <c r="P54" s="8" t="s">
        <v>1524</v>
      </c>
    </row>
    <row r="55" spans="1:16" x14ac:dyDescent="0.2">
      <c r="A55" s="8" t="s">
        <v>1336</v>
      </c>
      <c r="B55" s="8" t="s">
        <v>1337</v>
      </c>
      <c r="C55" s="8" t="s">
        <v>1279</v>
      </c>
      <c r="D55" s="23">
        <v>1</v>
      </c>
      <c r="E55" s="8" t="s">
        <v>1279</v>
      </c>
      <c r="F55" s="8" t="s">
        <v>1338</v>
      </c>
      <c r="G55" s="8" t="s">
        <v>602</v>
      </c>
      <c r="H55" s="8" t="s">
        <v>760</v>
      </c>
      <c r="I55" s="8" t="s">
        <v>603</v>
      </c>
      <c r="J55" s="8" t="s">
        <v>608</v>
      </c>
      <c r="K55" s="24">
        <v>46083</v>
      </c>
      <c r="L55" s="24">
        <v>46073</v>
      </c>
      <c r="M55" s="24">
        <v>46079</v>
      </c>
      <c r="N55" s="8" t="s">
        <v>1300</v>
      </c>
      <c r="O55" s="24"/>
      <c r="P55" s="8"/>
    </row>
    <row r="56" spans="1:16" x14ac:dyDescent="0.2">
      <c r="A56" s="8" t="s">
        <v>1544</v>
      </c>
      <c r="B56" s="8" t="s">
        <v>1545</v>
      </c>
      <c r="C56" s="8" t="s">
        <v>1546</v>
      </c>
      <c r="D56" s="23">
        <v>1</v>
      </c>
      <c r="E56" s="8" t="s">
        <v>1547</v>
      </c>
      <c r="F56" s="8" t="s">
        <v>1548</v>
      </c>
      <c r="G56" s="8" t="s">
        <v>602</v>
      </c>
      <c r="H56" s="8" t="s">
        <v>727</v>
      </c>
      <c r="I56" s="8" t="s">
        <v>603</v>
      </c>
      <c r="J56" s="8" t="s">
        <v>608</v>
      </c>
      <c r="K56" s="24">
        <v>46108</v>
      </c>
      <c r="L56" s="24">
        <v>46098</v>
      </c>
      <c r="M56" s="24">
        <v>46098</v>
      </c>
      <c r="N56" s="8" t="s">
        <v>1515</v>
      </c>
      <c r="O56" s="24">
        <v>46266</v>
      </c>
      <c r="P56" s="8" t="s">
        <v>1549</v>
      </c>
    </row>
    <row r="57" spans="1:16" x14ac:dyDescent="0.2">
      <c r="A57" s="8" t="s">
        <v>1550</v>
      </c>
      <c r="B57" s="8" t="s">
        <v>1551</v>
      </c>
      <c r="C57" s="8" t="s">
        <v>1552</v>
      </c>
      <c r="D57" s="23">
        <v>1</v>
      </c>
      <c r="E57" s="8" t="s">
        <v>1552</v>
      </c>
      <c r="F57" s="8" t="s">
        <v>1553</v>
      </c>
      <c r="G57" s="8" t="s">
        <v>602</v>
      </c>
      <c r="H57" s="8" t="s">
        <v>727</v>
      </c>
      <c r="I57" s="8" t="s">
        <v>603</v>
      </c>
      <c r="J57" s="8" t="s">
        <v>608</v>
      </c>
      <c r="K57" s="24">
        <v>46108</v>
      </c>
      <c r="L57" s="24">
        <v>46098</v>
      </c>
      <c r="M57" s="24">
        <v>46098</v>
      </c>
      <c r="N57" s="8" t="s">
        <v>1515</v>
      </c>
      <c r="O57" s="24">
        <v>46266</v>
      </c>
      <c r="P57" s="8" t="s">
        <v>1299</v>
      </c>
    </row>
    <row r="58" spans="1:16" x14ac:dyDescent="0.2">
      <c r="A58" s="8" t="s">
        <v>725</v>
      </c>
      <c r="B58" s="8" t="s">
        <v>605</v>
      </c>
      <c r="C58" s="8" t="s">
        <v>389</v>
      </c>
      <c r="D58" s="23">
        <v>1</v>
      </c>
      <c r="E58" s="8" t="s">
        <v>389</v>
      </c>
      <c r="F58" s="8" t="s">
        <v>726</v>
      </c>
      <c r="G58" s="8" t="s">
        <v>602</v>
      </c>
      <c r="H58" s="8" t="s">
        <v>727</v>
      </c>
      <c r="I58" s="8" t="s">
        <v>603</v>
      </c>
      <c r="J58" s="8" t="s">
        <v>608</v>
      </c>
      <c r="K58" s="24">
        <v>46108</v>
      </c>
      <c r="L58" s="24">
        <v>45874</v>
      </c>
      <c r="M58" s="24">
        <v>45948</v>
      </c>
      <c r="N58" s="8" t="s">
        <v>609</v>
      </c>
      <c r="O58" s="24"/>
      <c r="P58" s="8"/>
    </row>
    <row r="59" spans="1:16" x14ac:dyDescent="0.2">
      <c r="A59" s="8" t="s">
        <v>678</v>
      </c>
      <c r="B59" s="8" t="s">
        <v>728</v>
      </c>
      <c r="C59" s="8" t="s">
        <v>387</v>
      </c>
      <c r="D59" s="23">
        <v>1</v>
      </c>
      <c r="E59" s="8" t="s">
        <v>387</v>
      </c>
      <c r="F59" s="8" t="s">
        <v>729</v>
      </c>
      <c r="G59" s="8" t="s">
        <v>602</v>
      </c>
      <c r="H59" s="8" t="s">
        <v>727</v>
      </c>
      <c r="I59" s="8" t="s">
        <v>603</v>
      </c>
      <c r="J59" s="8" t="s">
        <v>608</v>
      </c>
      <c r="K59" s="24">
        <v>46108</v>
      </c>
      <c r="L59" s="24">
        <v>45910</v>
      </c>
      <c r="M59" s="24">
        <v>45910</v>
      </c>
      <c r="N59" s="8"/>
      <c r="O59" s="24"/>
      <c r="P59" s="8"/>
    </row>
    <row r="60" spans="1:16" x14ac:dyDescent="0.2">
      <c r="A60" s="8" t="s">
        <v>712</v>
      </c>
      <c r="B60" s="8" t="s">
        <v>614</v>
      </c>
      <c r="C60" s="8" t="s">
        <v>384</v>
      </c>
      <c r="D60" s="23">
        <v>1</v>
      </c>
      <c r="E60" s="8" t="s">
        <v>713</v>
      </c>
      <c r="F60" s="8" t="s">
        <v>714</v>
      </c>
      <c r="G60" s="8" t="s">
        <v>602</v>
      </c>
      <c r="H60" s="8" t="s">
        <v>733</v>
      </c>
      <c r="I60" s="8" t="s">
        <v>603</v>
      </c>
      <c r="J60" s="8" t="s">
        <v>608</v>
      </c>
      <c r="K60" s="24">
        <v>46098</v>
      </c>
      <c r="L60" s="24">
        <v>45856</v>
      </c>
      <c r="M60" s="24">
        <v>45966</v>
      </c>
      <c r="N60" s="8"/>
      <c r="O60" s="24"/>
      <c r="P60" s="8"/>
    </row>
    <row r="61" spans="1:16" x14ac:dyDescent="0.2">
      <c r="A61" s="8" t="s">
        <v>1175</v>
      </c>
      <c r="B61" s="8" t="s">
        <v>1176</v>
      </c>
      <c r="C61" s="8" t="s">
        <v>1146</v>
      </c>
      <c r="D61" s="23">
        <v>1</v>
      </c>
      <c r="E61" s="8" t="s">
        <v>1177</v>
      </c>
      <c r="F61" s="8" t="s">
        <v>1178</v>
      </c>
      <c r="G61" s="8" t="s">
        <v>602</v>
      </c>
      <c r="H61" s="8" t="s">
        <v>733</v>
      </c>
      <c r="I61" s="8" t="s">
        <v>603</v>
      </c>
      <c r="J61" s="8" t="s">
        <v>608</v>
      </c>
      <c r="K61" s="24">
        <v>46098</v>
      </c>
      <c r="L61" s="24">
        <v>45995</v>
      </c>
      <c r="M61" s="24">
        <v>45996</v>
      </c>
      <c r="N61" s="8"/>
      <c r="O61" s="24"/>
      <c r="P61" s="8"/>
    </row>
    <row r="62" spans="1:16" x14ac:dyDescent="0.2">
      <c r="A62" s="8" t="s">
        <v>766</v>
      </c>
      <c r="B62" s="8" t="s">
        <v>1176</v>
      </c>
      <c r="C62" s="8" t="s">
        <v>41</v>
      </c>
      <c r="D62" s="23">
        <v>1</v>
      </c>
      <c r="E62" s="8" t="s">
        <v>767</v>
      </c>
      <c r="F62" s="8" t="s">
        <v>1179</v>
      </c>
      <c r="G62" s="8" t="s">
        <v>602</v>
      </c>
      <c r="H62" s="8" t="s">
        <v>768</v>
      </c>
      <c r="I62" s="8" t="s">
        <v>603</v>
      </c>
      <c r="J62" s="8" t="s">
        <v>608</v>
      </c>
      <c r="K62" s="24">
        <v>46098</v>
      </c>
      <c r="L62" s="24">
        <v>45995</v>
      </c>
      <c r="M62" s="24">
        <v>46002</v>
      </c>
      <c r="N62" s="8"/>
      <c r="O62" s="24"/>
      <c r="P62" s="8"/>
    </row>
    <row r="63" spans="1:16" x14ac:dyDescent="0.2">
      <c r="A63" s="8" t="s">
        <v>1180</v>
      </c>
      <c r="B63" s="8" t="s">
        <v>1181</v>
      </c>
      <c r="C63" s="8" t="s">
        <v>1133</v>
      </c>
      <c r="D63" s="23">
        <v>1</v>
      </c>
      <c r="E63" s="8" t="s">
        <v>1182</v>
      </c>
      <c r="F63" s="8" t="s">
        <v>1183</v>
      </c>
      <c r="G63" s="8" t="s">
        <v>602</v>
      </c>
      <c r="H63" s="8" t="s">
        <v>734</v>
      </c>
      <c r="I63" s="8" t="s">
        <v>603</v>
      </c>
      <c r="J63" s="8" t="s">
        <v>608</v>
      </c>
      <c r="K63" s="24">
        <v>46108</v>
      </c>
      <c r="L63" s="24">
        <v>45985</v>
      </c>
      <c r="M63" s="24">
        <v>45988</v>
      </c>
      <c r="N63" s="8" t="s">
        <v>1174</v>
      </c>
      <c r="O63" s="24"/>
      <c r="P63" s="8"/>
    </row>
    <row r="64" spans="1:16" x14ac:dyDescent="0.2">
      <c r="A64" s="8" t="s">
        <v>1186</v>
      </c>
      <c r="B64" s="8" t="s">
        <v>1187</v>
      </c>
      <c r="C64" s="8" t="s">
        <v>1144</v>
      </c>
      <c r="D64" s="23">
        <v>1</v>
      </c>
      <c r="E64" s="8" t="s">
        <v>1144</v>
      </c>
      <c r="F64" s="8" t="s">
        <v>1188</v>
      </c>
      <c r="G64" s="8" t="s">
        <v>602</v>
      </c>
      <c r="H64" s="8" t="s">
        <v>734</v>
      </c>
      <c r="I64" s="8" t="s">
        <v>603</v>
      </c>
      <c r="J64" s="8" t="s">
        <v>608</v>
      </c>
      <c r="K64" s="24">
        <v>46108</v>
      </c>
      <c r="L64" s="24">
        <v>46043</v>
      </c>
      <c r="M64" s="24">
        <v>46045</v>
      </c>
      <c r="N64" s="8"/>
      <c r="O64" s="24"/>
      <c r="P64" s="8"/>
    </row>
    <row r="65" spans="1:16" x14ac:dyDescent="0.2">
      <c r="A65" s="8" t="s">
        <v>740</v>
      </c>
      <c r="B65" s="8" t="s">
        <v>741</v>
      </c>
      <c r="C65" s="8" t="s">
        <v>388</v>
      </c>
      <c r="D65" s="23">
        <v>1</v>
      </c>
      <c r="E65" s="8" t="s">
        <v>742</v>
      </c>
      <c r="F65" s="8" t="s">
        <v>743</v>
      </c>
      <c r="G65" s="8" t="s">
        <v>602</v>
      </c>
      <c r="H65" s="8" t="s">
        <v>744</v>
      </c>
      <c r="I65" s="8" t="s">
        <v>603</v>
      </c>
      <c r="J65" s="8" t="s">
        <v>608</v>
      </c>
      <c r="K65" s="24">
        <v>46105</v>
      </c>
      <c r="L65" s="24">
        <v>45909</v>
      </c>
      <c r="M65" s="24">
        <v>45912</v>
      </c>
      <c r="N65" s="8" t="s">
        <v>630</v>
      </c>
      <c r="O65" s="24">
        <v>55040</v>
      </c>
      <c r="P65" s="8" t="s">
        <v>1339</v>
      </c>
    </row>
    <row r="66" spans="1:16" x14ac:dyDescent="0.2">
      <c r="A66" s="8" t="s">
        <v>1554</v>
      </c>
      <c r="B66" s="8" t="s">
        <v>1555</v>
      </c>
      <c r="C66" s="8" t="s">
        <v>1556</v>
      </c>
      <c r="D66" s="23">
        <v>1</v>
      </c>
      <c r="E66" s="8" t="s">
        <v>1557</v>
      </c>
      <c r="F66" s="8" t="s">
        <v>1558</v>
      </c>
      <c r="G66" s="8" t="s">
        <v>602</v>
      </c>
      <c r="H66" s="8" t="s">
        <v>1559</v>
      </c>
      <c r="I66" s="8" t="s">
        <v>603</v>
      </c>
      <c r="J66" s="8" t="s">
        <v>1560</v>
      </c>
      <c r="K66" s="24">
        <v>46101</v>
      </c>
      <c r="L66" s="24">
        <v>46101</v>
      </c>
      <c r="M66" s="24">
        <v>46101</v>
      </c>
      <c r="N66" s="8" t="s">
        <v>1523</v>
      </c>
      <c r="O66" s="24">
        <v>46266</v>
      </c>
      <c r="P66" s="8" t="s">
        <v>1524</v>
      </c>
    </row>
    <row r="67" spans="1:16" x14ac:dyDescent="0.2">
      <c r="A67" s="8" t="s">
        <v>1118</v>
      </c>
      <c r="B67" s="8" t="s">
        <v>1561</v>
      </c>
      <c r="C67" s="8" t="s">
        <v>8</v>
      </c>
      <c r="D67" s="23">
        <v>1</v>
      </c>
      <c r="E67" s="8" t="s">
        <v>1119</v>
      </c>
      <c r="F67" s="8" t="s">
        <v>1562</v>
      </c>
      <c r="G67" s="8" t="s">
        <v>602</v>
      </c>
      <c r="H67" s="8" t="s">
        <v>1563</v>
      </c>
      <c r="I67" s="8" t="s">
        <v>603</v>
      </c>
      <c r="J67" s="8" t="s">
        <v>1560</v>
      </c>
      <c r="K67" s="24">
        <v>46108</v>
      </c>
      <c r="L67" s="24">
        <v>46107</v>
      </c>
      <c r="M67" s="24">
        <v>46107</v>
      </c>
      <c r="N67" s="8"/>
      <c r="O67" s="24"/>
      <c r="P67" s="8"/>
    </row>
    <row r="68" spans="1:16" x14ac:dyDescent="0.2">
      <c r="A68" s="8" t="s">
        <v>1564</v>
      </c>
      <c r="B68" s="8" t="s">
        <v>1565</v>
      </c>
      <c r="C68" s="8" t="s">
        <v>1566</v>
      </c>
      <c r="D68" s="23">
        <v>1</v>
      </c>
      <c r="E68" s="8" t="s">
        <v>1566</v>
      </c>
      <c r="F68" s="8" t="s">
        <v>1567</v>
      </c>
      <c r="G68" s="8" t="s">
        <v>602</v>
      </c>
      <c r="H68" s="8" t="s">
        <v>1568</v>
      </c>
      <c r="I68" s="8" t="s">
        <v>603</v>
      </c>
      <c r="J68" s="8" t="s">
        <v>1560</v>
      </c>
      <c r="K68" s="24">
        <v>46108</v>
      </c>
      <c r="L68" s="24">
        <v>46108</v>
      </c>
      <c r="M68" s="24">
        <v>46108</v>
      </c>
      <c r="N68" s="8" t="s">
        <v>1569</v>
      </c>
      <c r="O68" s="24">
        <v>46266</v>
      </c>
      <c r="P68" s="8" t="s">
        <v>1570</v>
      </c>
    </row>
    <row r="69" spans="1:16" x14ac:dyDescent="0.2">
      <c r="A69" s="8" t="s">
        <v>619</v>
      </c>
      <c r="B69" s="8" t="s">
        <v>1571</v>
      </c>
      <c r="C69" s="8" t="s">
        <v>86</v>
      </c>
      <c r="D69" s="23">
        <v>1</v>
      </c>
      <c r="E69" s="8" t="s">
        <v>620</v>
      </c>
      <c r="F69" s="8" t="s">
        <v>1572</v>
      </c>
      <c r="G69" s="8" t="s">
        <v>602</v>
      </c>
      <c r="H69" s="8" t="s">
        <v>1573</v>
      </c>
      <c r="I69" s="8" t="s">
        <v>603</v>
      </c>
      <c r="J69" s="8" t="s">
        <v>1560</v>
      </c>
      <c r="K69" s="24">
        <v>46108</v>
      </c>
      <c r="L69" s="24">
        <v>46108</v>
      </c>
      <c r="M69" s="24">
        <v>46108</v>
      </c>
      <c r="N69" s="8" t="s">
        <v>1569</v>
      </c>
      <c r="O69" s="24">
        <v>46266</v>
      </c>
      <c r="P69" s="8" t="s">
        <v>1570</v>
      </c>
    </row>
    <row r="70" spans="1:16" x14ac:dyDescent="0.2">
      <c r="A70" s="8" t="s">
        <v>1574</v>
      </c>
      <c r="B70" s="8" t="s">
        <v>1575</v>
      </c>
      <c r="C70" s="8" t="s">
        <v>1576</v>
      </c>
      <c r="D70" s="23">
        <v>1</v>
      </c>
      <c r="E70" s="8" t="s">
        <v>1576</v>
      </c>
      <c r="F70" s="8" t="s">
        <v>1577</v>
      </c>
      <c r="G70" s="8" t="s">
        <v>602</v>
      </c>
      <c r="H70" s="8" t="s">
        <v>1578</v>
      </c>
      <c r="I70" s="8" t="s">
        <v>603</v>
      </c>
      <c r="J70" s="8" t="s">
        <v>1560</v>
      </c>
      <c r="K70" s="24">
        <v>46108</v>
      </c>
      <c r="L70" s="24">
        <v>46108</v>
      </c>
      <c r="M70" s="24">
        <v>46108</v>
      </c>
      <c r="N70" s="8" t="s">
        <v>1569</v>
      </c>
      <c r="O70" s="24">
        <v>46266</v>
      </c>
      <c r="P70" s="8" t="s">
        <v>1570</v>
      </c>
    </row>
    <row r="71" spans="1:16" x14ac:dyDescent="0.2">
      <c r="A71" s="8" t="s">
        <v>1243</v>
      </c>
      <c r="B71" s="8" t="s">
        <v>1579</v>
      </c>
      <c r="C71" s="8" t="s">
        <v>15</v>
      </c>
      <c r="D71" s="23">
        <v>1</v>
      </c>
      <c r="E71" s="8" t="s">
        <v>15</v>
      </c>
      <c r="F71" s="8" t="s">
        <v>1580</v>
      </c>
      <c r="G71" s="8" t="s">
        <v>602</v>
      </c>
      <c r="H71" s="8" t="s">
        <v>1581</v>
      </c>
      <c r="I71" s="8" t="s">
        <v>603</v>
      </c>
      <c r="J71" s="8" t="s">
        <v>1560</v>
      </c>
      <c r="K71" s="24">
        <v>46108</v>
      </c>
      <c r="L71" s="24">
        <v>46108</v>
      </c>
      <c r="M71" s="24">
        <v>46108</v>
      </c>
      <c r="N71" s="8" t="s">
        <v>1569</v>
      </c>
      <c r="O71" s="24">
        <v>46266</v>
      </c>
      <c r="P71" s="8" t="s">
        <v>1570</v>
      </c>
    </row>
    <row r="72" spans="1:16" x14ac:dyDescent="0.2">
      <c r="A72" s="8" t="s">
        <v>1582</v>
      </c>
      <c r="B72" s="8" t="s">
        <v>1583</v>
      </c>
      <c r="C72" s="8" t="s">
        <v>1584</v>
      </c>
      <c r="D72" s="23">
        <v>1</v>
      </c>
      <c r="E72" s="8" t="s">
        <v>1584</v>
      </c>
      <c r="F72" s="8" t="s">
        <v>1585</v>
      </c>
      <c r="G72" s="8" t="s">
        <v>602</v>
      </c>
      <c r="H72" s="8" t="s">
        <v>1586</v>
      </c>
      <c r="I72" s="8" t="s">
        <v>603</v>
      </c>
      <c r="J72" s="8" t="s">
        <v>1560</v>
      </c>
      <c r="K72" s="24">
        <v>46108</v>
      </c>
      <c r="L72" s="24">
        <v>46108</v>
      </c>
      <c r="M72" s="24">
        <v>46108</v>
      </c>
      <c r="N72" s="8" t="s">
        <v>1569</v>
      </c>
      <c r="O72" s="24">
        <v>46266</v>
      </c>
      <c r="P72" s="8" t="s">
        <v>1570</v>
      </c>
    </row>
    <row r="73" spans="1:16" x14ac:dyDescent="0.2">
      <c r="A73" s="8" t="s">
        <v>1587</v>
      </c>
      <c r="B73" s="8" t="s">
        <v>1588</v>
      </c>
      <c r="C73" s="8" t="s">
        <v>1589</v>
      </c>
      <c r="D73" s="23">
        <v>1</v>
      </c>
      <c r="E73" s="8" t="s">
        <v>1589</v>
      </c>
      <c r="F73" s="8" t="s">
        <v>1590</v>
      </c>
      <c r="G73" s="8" t="s">
        <v>602</v>
      </c>
      <c r="H73" s="8" t="s">
        <v>1591</v>
      </c>
      <c r="I73" s="8" t="s">
        <v>603</v>
      </c>
      <c r="J73" s="8" t="s">
        <v>1560</v>
      </c>
      <c r="K73" s="24">
        <v>46108</v>
      </c>
      <c r="L73" s="24">
        <v>46108</v>
      </c>
      <c r="M73" s="24">
        <v>46108</v>
      </c>
      <c r="N73" s="8" t="s">
        <v>1569</v>
      </c>
      <c r="O73" s="24">
        <v>46266</v>
      </c>
      <c r="P73" s="8" t="s">
        <v>1570</v>
      </c>
    </row>
    <row r="74" spans="1:16" x14ac:dyDescent="0.2">
      <c r="A74" s="8" t="s">
        <v>1592</v>
      </c>
      <c r="B74" s="8" t="s">
        <v>1593</v>
      </c>
      <c r="C74" s="8" t="s">
        <v>1594</v>
      </c>
      <c r="D74" s="23">
        <v>1</v>
      </c>
      <c r="E74" s="8" t="s">
        <v>1594</v>
      </c>
      <c r="F74" s="8" t="s">
        <v>1595</v>
      </c>
      <c r="G74" s="8" t="s">
        <v>602</v>
      </c>
      <c r="H74" s="8" t="s">
        <v>1596</v>
      </c>
      <c r="I74" s="8" t="s">
        <v>603</v>
      </c>
      <c r="J74" s="8" t="s">
        <v>1560</v>
      </c>
      <c r="K74" s="24">
        <v>46108</v>
      </c>
      <c r="L74" s="24">
        <v>46108</v>
      </c>
      <c r="M74" s="24">
        <v>46108</v>
      </c>
      <c r="N74" s="8" t="s">
        <v>1569</v>
      </c>
      <c r="O74" s="24">
        <v>46266</v>
      </c>
      <c r="P74" s="8" t="s">
        <v>1570</v>
      </c>
    </row>
    <row r="75" spans="1:16" x14ac:dyDescent="0.2">
      <c r="A75" s="8" t="s">
        <v>1597</v>
      </c>
      <c r="B75" s="8" t="s">
        <v>1598</v>
      </c>
      <c r="C75" s="8" t="s">
        <v>1599</v>
      </c>
      <c r="D75" s="23">
        <v>1</v>
      </c>
      <c r="E75" s="8" t="s">
        <v>1600</v>
      </c>
      <c r="F75" s="8" t="s">
        <v>1601</v>
      </c>
      <c r="G75" s="8" t="s">
        <v>602</v>
      </c>
      <c r="H75" s="8" t="s">
        <v>1602</v>
      </c>
      <c r="I75" s="8" t="s">
        <v>603</v>
      </c>
      <c r="J75" s="8" t="s">
        <v>1560</v>
      </c>
      <c r="K75" s="24">
        <v>46108</v>
      </c>
      <c r="L75" s="24">
        <v>46108</v>
      </c>
      <c r="M75" s="24">
        <v>46108</v>
      </c>
      <c r="N75" s="8" t="s">
        <v>1569</v>
      </c>
      <c r="O75" s="24">
        <v>46266</v>
      </c>
      <c r="P75" s="8" t="s">
        <v>1570</v>
      </c>
    </row>
    <row r="76" spans="1:16" x14ac:dyDescent="0.2">
      <c r="A76" s="8" t="s">
        <v>1603</v>
      </c>
      <c r="B76" s="8" t="s">
        <v>1604</v>
      </c>
      <c r="C76" s="8" t="s">
        <v>1605</v>
      </c>
      <c r="D76" s="23">
        <v>1</v>
      </c>
      <c r="E76" s="8" t="s">
        <v>1605</v>
      </c>
      <c r="F76" s="8" t="s">
        <v>1606</v>
      </c>
      <c r="G76" s="8" t="s">
        <v>602</v>
      </c>
      <c r="H76" s="8" t="s">
        <v>1607</v>
      </c>
      <c r="I76" s="8" t="s">
        <v>603</v>
      </c>
      <c r="J76" s="8" t="s">
        <v>1560</v>
      </c>
      <c r="K76" s="24">
        <v>46108</v>
      </c>
      <c r="L76" s="24">
        <v>46108</v>
      </c>
      <c r="M76" s="24">
        <v>46108</v>
      </c>
      <c r="N76" s="8" t="s">
        <v>1569</v>
      </c>
      <c r="O76" s="24">
        <v>46266</v>
      </c>
      <c r="P76" s="8" t="s">
        <v>1570</v>
      </c>
    </row>
    <row r="77" spans="1:16" x14ac:dyDescent="0.2">
      <c r="A77" s="8" t="s">
        <v>1550</v>
      </c>
      <c r="B77" s="8" t="s">
        <v>1608</v>
      </c>
      <c r="C77" s="8" t="s">
        <v>1552</v>
      </c>
      <c r="D77" s="23">
        <v>1</v>
      </c>
      <c r="E77" s="8" t="s">
        <v>1552</v>
      </c>
      <c r="F77" s="8" t="s">
        <v>1609</v>
      </c>
      <c r="G77" s="8" t="s">
        <v>602</v>
      </c>
      <c r="H77" s="8" t="s">
        <v>1610</v>
      </c>
      <c r="I77" s="8" t="s">
        <v>603</v>
      </c>
      <c r="J77" s="8" t="s">
        <v>1560</v>
      </c>
      <c r="K77" s="24">
        <v>46108</v>
      </c>
      <c r="L77" s="24">
        <v>46108</v>
      </c>
      <c r="M77" s="24">
        <v>46108</v>
      </c>
      <c r="N77" s="8" t="s">
        <v>1569</v>
      </c>
      <c r="O77" s="24">
        <v>46266</v>
      </c>
      <c r="P77" s="8" t="s">
        <v>1570</v>
      </c>
    </row>
    <row r="78" spans="1:16" x14ac:dyDescent="0.2">
      <c r="A78" s="8" t="s">
        <v>604</v>
      </c>
      <c r="B78" s="8" t="s">
        <v>746</v>
      </c>
      <c r="C78" s="8" t="s">
        <v>58</v>
      </c>
      <c r="D78" s="23">
        <v>2</v>
      </c>
      <c r="E78" s="8" t="s">
        <v>58</v>
      </c>
      <c r="F78" s="8" t="s">
        <v>747</v>
      </c>
      <c r="G78" s="8" t="s">
        <v>602</v>
      </c>
      <c r="H78" s="8" t="s">
        <v>607</v>
      </c>
      <c r="I78" s="8" t="s">
        <v>603</v>
      </c>
      <c r="J78" s="8" t="s">
        <v>608</v>
      </c>
      <c r="K78" s="24">
        <v>46098</v>
      </c>
      <c r="L78" s="24">
        <v>45904</v>
      </c>
      <c r="M78" s="24">
        <v>45948</v>
      </c>
      <c r="N78" s="8" t="s">
        <v>635</v>
      </c>
      <c r="O78" s="24"/>
      <c r="P78" s="8"/>
    </row>
    <row r="79" spans="1:16" x14ac:dyDescent="0.2">
      <c r="A79" s="8" t="s">
        <v>1204</v>
      </c>
      <c r="B79" s="8" t="s">
        <v>1611</v>
      </c>
      <c r="C79" s="8" t="s">
        <v>3</v>
      </c>
      <c r="D79" s="23">
        <v>2</v>
      </c>
      <c r="E79" s="8" t="s">
        <v>1205</v>
      </c>
      <c r="F79" s="8" t="s">
        <v>1612</v>
      </c>
      <c r="G79" s="8" t="s">
        <v>602</v>
      </c>
      <c r="H79" s="8" t="s">
        <v>607</v>
      </c>
      <c r="I79" s="8" t="s">
        <v>603</v>
      </c>
      <c r="J79" s="8" t="s">
        <v>608</v>
      </c>
      <c r="K79" s="24">
        <v>46098</v>
      </c>
      <c r="L79" s="24">
        <v>46090</v>
      </c>
      <c r="M79" s="24">
        <v>46091</v>
      </c>
      <c r="N79" s="8" t="s">
        <v>1613</v>
      </c>
      <c r="O79" s="24">
        <v>47545</v>
      </c>
      <c r="P79" s="8" t="s">
        <v>1614</v>
      </c>
    </row>
    <row r="80" spans="1:16" x14ac:dyDescent="0.2">
      <c r="A80" s="8" t="s">
        <v>1204</v>
      </c>
      <c r="B80" s="8" t="s">
        <v>1615</v>
      </c>
      <c r="C80" s="8" t="s">
        <v>3</v>
      </c>
      <c r="D80" s="23">
        <v>2</v>
      </c>
      <c r="E80" s="8" t="s">
        <v>1205</v>
      </c>
      <c r="F80" s="8" t="s">
        <v>1616</v>
      </c>
      <c r="G80" s="8" t="s">
        <v>602</v>
      </c>
      <c r="H80" s="8" t="s">
        <v>607</v>
      </c>
      <c r="I80" s="8" t="s">
        <v>603</v>
      </c>
      <c r="J80" s="8" t="s">
        <v>608</v>
      </c>
      <c r="K80" s="24">
        <v>46098</v>
      </c>
      <c r="L80" s="24">
        <v>46098</v>
      </c>
      <c r="M80" s="24">
        <v>46098</v>
      </c>
      <c r="N80" s="8" t="s">
        <v>1515</v>
      </c>
      <c r="O80" s="24">
        <v>46266</v>
      </c>
      <c r="P80" s="8" t="s">
        <v>1549</v>
      </c>
    </row>
    <row r="81" spans="1:16" x14ac:dyDescent="0.2">
      <c r="A81" s="8" t="s">
        <v>798</v>
      </c>
      <c r="B81" s="8" t="s">
        <v>1214</v>
      </c>
      <c r="C81" s="8" t="s">
        <v>70</v>
      </c>
      <c r="D81" s="23">
        <v>2</v>
      </c>
      <c r="E81" s="8" t="s">
        <v>799</v>
      </c>
      <c r="F81" s="8" t="s">
        <v>1215</v>
      </c>
      <c r="G81" s="8" t="s">
        <v>602</v>
      </c>
      <c r="H81" s="8" t="s">
        <v>902</v>
      </c>
      <c r="I81" s="8" t="s">
        <v>603</v>
      </c>
      <c r="J81" s="8" t="s">
        <v>608</v>
      </c>
      <c r="K81" s="24">
        <v>46098</v>
      </c>
      <c r="L81" s="24">
        <v>46043</v>
      </c>
      <c r="M81" s="24">
        <v>46045</v>
      </c>
      <c r="N81" s="8"/>
      <c r="O81" s="24"/>
      <c r="P81" s="8"/>
    </row>
    <row r="82" spans="1:16" x14ac:dyDescent="0.2">
      <c r="A82" s="8" t="s">
        <v>1617</v>
      </c>
      <c r="B82" s="8" t="s">
        <v>1618</v>
      </c>
      <c r="C82" s="8" t="s">
        <v>1619</v>
      </c>
      <c r="D82" s="23">
        <v>2</v>
      </c>
      <c r="E82" s="8" t="s">
        <v>1620</v>
      </c>
      <c r="F82" s="8" t="s">
        <v>1621</v>
      </c>
      <c r="G82" s="8" t="s">
        <v>602</v>
      </c>
      <c r="H82" s="8" t="s">
        <v>632</v>
      </c>
      <c r="I82" s="8" t="s">
        <v>603</v>
      </c>
      <c r="J82" s="8" t="s">
        <v>608</v>
      </c>
      <c r="K82" s="24">
        <v>46111</v>
      </c>
      <c r="L82" s="24">
        <v>46101</v>
      </c>
      <c r="M82" s="24">
        <v>46107</v>
      </c>
      <c r="N82" s="8" t="s">
        <v>1523</v>
      </c>
      <c r="O82" s="24">
        <v>46266</v>
      </c>
      <c r="P82" s="8" t="s">
        <v>1524</v>
      </c>
    </row>
    <row r="83" spans="1:16" x14ac:dyDescent="0.2">
      <c r="A83" s="8" t="s">
        <v>1341</v>
      </c>
      <c r="B83" s="8" t="s">
        <v>785</v>
      </c>
      <c r="C83" s="8" t="s">
        <v>1342</v>
      </c>
      <c r="D83" s="23">
        <v>2</v>
      </c>
      <c r="E83" s="8" t="s">
        <v>1342</v>
      </c>
      <c r="F83" s="8" t="s">
        <v>1343</v>
      </c>
      <c r="G83" s="8" t="s">
        <v>602</v>
      </c>
      <c r="H83" s="8" t="s">
        <v>669</v>
      </c>
      <c r="I83" s="8" t="s">
        <v>603</v>
      </c>
      <c r="J83" s="8" t="s">
        <v>608</v>
      </c>
      <c r="K83" s="24">
        <v>46111</v>
      </c>
      <c r="L83" s="24">
        <v>46079</v>
      </c>
      <c r="M83" s="24">
        <v>46079</v>
      </c>
      <c r="N83" s="8"/>
      <c r="O83" s="24"/>
      <c r="P83" s="8"/>
    </row>
    <row r="84" spans="1:16" x14ac:dyDescent="0.2">
      <c r="A84" s="8" t="s">
        <v>1554</v>
      </c>
      <c r="B84" s="8" t="s">
        <v>1622</v>
      </c>
      <c r="C84" s="8" t="s">
        <v>1556</v>
      </c>
      <c r="D84" s="23">
        <v>2</v>
      </c>
      <c r="E84" s="8" t="s">
        <v>1557</v>
      </c>
      <c r="F84" s="8" t="s">
        <v>1623</v>
      </c>
      <c r="G84" s="8" t="s">
        <v>602</v>
      </c>
      <c r="H84" s="8" t="s">
        <v>670</v>
      </c>
      <c r="I84" s="8" t="s">
        <v>603</v>
      </c>
      <c r="J84" s="8" t="s">
        <v>608</v>
      </c>
      <c r="K84" s="24">
        <v>46107</v>
      </c>
      <c r="L84" s="24">
        <v>46101</v>
      </c>
      <c r="M84" s="24">
        <v>46107</v>
      </c>
      <c r="N84" s="8" t="s">
        <v>1523</v>
      </c>
      <c r="O84" s="24">
        <v>46266</v>
      </c>
      <c r="P84" s="8" t="s">
        <v>1524</v>
      </c>
    </row>
    <row r="85" spans="1:16" x14ac:dyDescent="0.2">
      <c r="A85" s="8" t="s">
        <v>1624</v>
      </c>
      <c r="B85" s="8" t="s">
        <v>1625</v>
      </c>
      <c r="C85" s="8" t="s">
        <v>1626</v>
      </c>
      <c r="D85" s="23">
        <v>2</v>
      </c>
      <c r="E85" s="8" t="s">
        <v>1627</v>
      </c>
      <c r="F85" s="8" t="s">
        <v>1628</v>
      </c>
      <c r="G85" s="8" t="s">
        <v>602</v>
      </c>
      <c r="H85" s="8" t="s">
        <v>670</v>
      </c>
      <c r="I85" s="8" t="s">
        <v>603</v>
      </c>
      <c r="J85" s="8" t="s">
        <v>608</v>
      </c>
      <c r="K85" s="24">
        <v>46107</v>
      </c>
      <c r="L85" s="24">
        <v>46101</v>
      </c>
      <c r="M85" s="24">
        <v>46107</v>
      </c>
      <c r="N85" s="8" t="s">
        <v>1523</v>
      </c>
      <c r="O85" s="24">
        <v>46266</v>
      </c>
      <c r="P85" s="8" t="s">
        <v>1524</v>
      </c>
    </row>
    <row r="86" spans="1:16" x14ac:dyDescent="0.2">
      <c r="A86" s="8" t="s">
        <v>671</v>
      </c>
      <c r="B86" s="8" t="s">
        <v>752</v>
      </c>
      <c r="C86" s="8" t="s">
        <v>81</v>
      </c>
      <c r="D86" s="23">
        <v>2</v>
      </c>
      <c r="E86" s="8" t="s">
        <v>673</v>
      </c>
      <c r="F86" s="8" t="s">
        <v>753</v>
      </c>
      <c r="G86" s="8" t="s">
        <v>602</v>
      </c>
      <c r="H86" s="8" t="s">
        <v>675</v>
      </c>
      <c r="I86" s="8" t="s">
        <v>603</v>
      </c>
      <c r="J86" s="8" t="s">
        <v>608</v>
      </c>
      <c r="K86" s="24">
        <v>46111</v>
      </c>
      <c r="L86" s="24">
        <v>45855</v>
      </c>
      <c r="M86" s="24">
        <v>45892</v>
      </c>
      <c r="N86" s="8" t="s">
        <v>754</v>
      </c>
      <c r="O86" s="24"/>
      <c r="P86" s="8"/>
    </row>
    <row r="87" spans="1:16" x14ac:dyDescent="0.2">
      <c r="A87" s="8" t="s">
        <v>755</v>
      </c>
      <c r="B87" s="8" t="s">
        <v>703</v>
      </c>
      <c r="C87" s="8" t="s">
        <v>57</v>
      </c>
      <c r="D87" s="23">
        <v>2</v>
      </c>
      <c r="E87" s="8" t="s">
        <v>756</v>
      </c>
      <c r="F87" s="8" t="s">
        <v>757</v>
      </c>
      <c r="G87" s="8" t="s">
        <v>602</v>
      </c>
      <c r="H87" s="8" t="s">
        <v>675</v>
      </c>
      <c r="I87" s="8" t="s">
        <v>603</v>
      </c>
      <c r="J87" s="8" t="s">
        <v>608</v>
      </c>
      <c r="K87" s="24">
        <v>46111</v>
      </c>
      <c r="L87" s="24">
        <v>45401</v>
      </c>
      <c r="M87" s="24">
        <v>45401</v>
      </c>
      <c r="N87" s="8" t="s">
        <v>703</v>
      </c>
      <c r="O87" s="24"/>
      <c r="P87" s="8"/>
    </row>
    <row r="88" spans="1:16" x14ac:dyDescent="0.2">
      <c r="A88" s="8" t="s">
        <v>748</v>
      </c>
      <c r="B88" s="8" t="s">
        <v>749</v>
      </c>
      <c r="C88" s="8" t="s">
        <v>27</v>
      </c>
      <c r="D88" s="23">
        <v>2</v>
      </c>
      <c r="E88" s="8" t="s">
        <v>750</v>
      </c>
      <c r="F88" s="8" t="s">
        <v>751</v>
      </c>
      <c r="G88" s="8" t="s">
        <v>602</v>
      </c>
      <c r="H88" s="8" t="s">
        <v>912</v>
      </c>
      <c r="I88" s="8" t="s">
        <v>603</v>
      </c>
      <c r="J88" s="8" t="s">
        <v>608</v>
      </c>
      <c r="K88" s="24">
        <v>46111</v>
      </c>
      <c r="L88" s="24">
        <v>45909</v>
      </c>
      <c r="M88" s="24">
        <v>46002</v>
      </c>
      <c r="N88" s="8" t="s">
        <v>630</v>
      </c>
      <c r="O88" s="24">
        <v>55040</v>
      </c>
      <c r="P88" s="8" t="s">
        <v>1339</v>
      </c>
    </row>
    <row r="89" spans="1:16" x14ac:dyDescent="0.2">
      <c r="A89" s="8" t="s">
        <v>860</v>
      </c>
      <c r="B89" s="8" t="s">
        <v>785</v>
      </c>
      <c r="C89" s="8" t="s">
        <v>410</v>
      </c>
      <c r="D89" s="23">
        <v>2</v>
      </c>
      <c r="E89" s="8" t="s">
        <v>410</v>
      </c>
      <c r="F89" s="8" t="s">
        <v>1629</v>
      </c>
      <c r="G89" s="8" t="s">
        <v>602</v>
      </c>
      <c r="H89" s="8" t="s">
        <v>1170</v>
      </c>
      <c r="I89" s="8" t="s">
        <v>603</v>
      </c>
      <c r="J89" s="8" t="s">
        <v>608</v>
      </c>
      <c r="K89" s="24">
        <v>46099</v>
      </c>
      <c r="L89" s="24">
        <v>46098</v>
      </c>
      <c r="M89" s="24">
        <v>46099</v>
      </c>
      <c r="N89" s="8"/>
      <c r="O89" s="24"/>
      <c r="P89" s="8"/>
    </row>
    <row r="90" spans="1:16" x14ac:dyDescent="0.2">
      <c r="A90" s="8" t="s">
        <v>872</v>
      </c>
      <c r="B90" s="8" t="s">
        <v>873</v>
      </c>
      <c r="C90" s="8" t="s">
        <v>414</v>
      </c>
      <c r="D90" s="23">
        <v>2</v>
      </c>
      <c r="E90" s="8" t="s">
        <v>414</v>
      </c>
      <c r="F90" s="8" t="s">
        <v>874</v>
      </c>
      <c r="G90" s="8" t="s">
        <v>602</v>
      </c>
      <c r="H90" s="8" t="s">
        <v>1170</v>
      </c>
      <c r="I90" s="8" t="s">
        <v>603</v>
      </c>
      <c r="J90" s="8" t="s">
        <v>608</v>
      </c>
      <c r="K90" s="24">
        <v>46099</v>
      </c>
      <c r="L90" s="24">
        <v>45916</v>
      </c>
      <c r="M90" s="24">
        <v>46050</v>
      </c>
      <c r="N90" s="8" t="s">
        <v>681</v>
      </c>
      <c r="O90" s="24">
        <v>55044</v>
      </c>
      <c r="P90" s="8" t="s">
        <v>1346</v>
      </c>
    </row>
    <row r="91" spans="1:16" x14ac:dyDescent="0.2">
      <c r="A91" s="8" t="s">
        <v>758</v>
      </c>
      <c r="B91" s="8" t="s">
        <v>637</v>
      </c>
      <c r="C91" s="8" t="s">
        <v>132</v>
      </c>
      <c r="D91" s="23">
        <v>2</v>
      </c>
      <c r="E91" s="8" t="s">
        <v>132</v>
      </c>
      <c r="F91" s="8" t="s">
        <v>759</v>
      </c>
      <c r="G91" s="8" t="s">
        <v>602</v>
      </c>
      <c r="H91" s="8" t="s">
        <v>718</v>
      </c>
      <c r="I91" s="8" t="s">
        <v>603</v>
      </c>
      <c r="J91" s="8" t="s">
        <v>608</v>
      </c>
      <c r="K91" s="24">
        <v>46100</v>
      </c>
      <c r="L91" s="24">
        <v>45722</v>
      </c>
      <c r="M91" s="24">
        <v>45819</v>
      </c>
      <c r="N91" s="8" t="s">
        <v>640</v>
      </c>
      <c r="O91" s="24"/>
      <c r="P91" s="8"/>
    </row>
    <row r="92" spans="1:16" x14ac:dyDescent="0.2">
      <c r="A92" s="8" t="s">
        <v>1331</v>
      </c>
      <c r="B92" s="8" t="s">
        <v>1344</v>
      </c>
      <c r="C92" s="8" t="s">
        <v>1333</v>
      </c>
      <c r="D92" s="23">
        <v>2</v>
      </c>
      <c r="E92" s="8" t="s">
        <v>1334</v>
      </c>
      <c r="F92" s="8" t="s">
        <v>1345</v>
      </c>
      <c r="G92" s="8" t="s">
        <v>602</v>
      </c>
      <c r="H92" s="8" t="s">
        <v>720</v>
      </c>
      <c r="I92" s="8" t="s">
        <v>603</v>
      </c>
      <c r="J92" s="8" t="s">
        <v>608</v>
      </c>
      <c r="K92" s="24">
        <v>46107</v>
      </c>
      <c r="L92" s="24">
        <v>46073</v>
      </c>
      <c r="M92" s="24">
        <v>46086</v>
      </c>
      <c r="N92" s="8" t="s">
        <v>1300</v>
      </c>
      <c r="O92" s="24"/>
      <c r="P92" s="8"/>
    </row>
    <row r="93" spans="1:16" x14ac:dyDescent="0.2">
      <c r="A93" s="8" t="s">
        <v>761</v>
      </c>
      <c r="B93" s="8" t="s">
        <v>1194</v>
      </c>
      <c r="C93" s="8" t="s">
        <v>372</v>
      </c>
      <c r="D93" s="23">
        <v>2</v>
      </c>
      <c r="E93" s="8" t="s">
        <v>762</v>
      </c>
      <c r="F93" s="8" t="s">
        <v>1195</v>
      </c>
      <c r="G93" s="8" t="s">
        <v>602</v>
      </c>
      <c r="H93" s="8" t="s">
        <v>727</v>
      </c>
      <c r="I93" s="8" t="s">
        <v>603</v>
      </c>
      <c r="J93" s="8" t="s">
        <v>608</v>
      </c>
      <c r="K93" s="24">
        <v>46108</v>
      </c>
      <c r="L93" s="24">
        <v>45992</v>
      </c>
      <c r="M93" s="24">
        <v>45996</v>
      </c>
      <c r="N93" s="8" t="s">
        <v>1189</v>
      </c>
      <c r="O93" s="24">
        <v>58805</v>
      </c>
      <c r="P93" s="8" t="s">
        <v>1298</v>
      </c>
    </row>
    <row r="94" spans="1:16" x14ac:dyDescent="0.2">
      <c r="A94" s="8" t="s">
        <v>761</v>
      </c>
      <c r="B94" s="8" t="s">
        <v>752</v>
      </c>
      <c r="C94" s="8" t="s">
        <v>372</v>
      </c>
      <c r="D94" s="23">
        <v>2</v>
      </c>
      <c r="E94" s="8" t="s">
        <v>762</v>
      </c>
      <c r="F94" s="8" t="s">
        <v>763</v>
      </c>
      <c r="G94" s="8" t="s">
        <v>602</v>
      </c>
      <c r="H94" s="8" t="s">
        <v>727</v>
      </c>
      <c r="I94" s="8" t="s">
        <v>603</v>
      </c>
      <c r="J94" s="8" t="s">
        <v>608</v>
      </c>
      <c r="K94" s="24">
        <v>46108</v>
      </c>
      <c r="L94" s="24">
        <v>45855</v>
      </c>
      <c r="M94" s="24">
        <v>45866</v>
      </c>
      <c r="N94" s="8" t="s">
        <v>754</v>
      </c>
      <c r="O94" s="24"/>
      <c r="P94" s="8"/>
    </row>
    <row r="95" spans="1:16" x14ac:dyDescent="0.2">
      <c r="A95" s="8" t="s">
        <v>764</v>
      </c>
      <c r="B95" s="8" t="s">
        <v>1196</v>
      </c>
      <c r="C95" s="8" t="s">
        <v>374</v>
      </c>
      <c r="D95" s="23">
        <v>2</v>
      </c>
      <c r="E95" s="8" t="s">
        <v>374</v>
      </c>
      <c r="F95" s="8" t="s">
        <v>1197</v>
      </c>
      <c r="G95" s="8" t="s">
        <v>602</v>
      </c>
      <c r="H95" s="8" t="s">
        <v>727</v>
      </c>
      <c r="I95" s="8" t="s">
        <v>603</v>
      </c>
      <c r="J95" s="8" t="s">
        <v>608</v>
      </c>
      <c r="K95" s="24">
        <v>46108</v>
      </c>
      <c r="L95" s="24">
        <v>45972</v>
      </c>
      <c r="M95" s="24">
        <v>45974</v>
      </c>
      <c r="N95" s="8" t="s">
        <v>1161</v>
      </c>
      <c r="O95" s="24">
        <v>46631</v>
      </c>
      <c r="P95" s="8" t="s">
        <v>1312</v>
      </c>
    </row>
    <row r="96" spans="1:16" x14ac:dyDescent="0.2">
      <c r="A96" s="8" t="s">
        <v>610</v>
      </c>
      <c r="B96" s="8" t="s">
        <v>1630</v>
      </c>
      <c r="C96" s="8" t="s">
        <v>611</v>
      </c>
      <c r="D96" s="23">
        <v>2</v>
      </c>
      <c r="E96" s="8" t="s">
        <v>612</v>
      </c>
      <c r="F96" s="8" t="s">
        <v>1631</v>
      </c>
      <c r="G96" s="8" t="s">
        <v>602</v>
      </c>
      <c r="H96" s="8" t="s">
        <v>768</v>
      </c>
      <c r="I96" s="8" t="s">
        <v>603</v>
      </c>
      <c r="J96" s="8" t="s">
        <v>608</v>
      </c>
      <c r="K96" s="24">
        <v>46098</v>
      </c>
      <c r="L96" s="24">
        <v>46098</v>
      </c>
      <c r="M96" s="24">
        <v>46098</v>
      </c>
      <c r="N96" s="8" t="s">
        <v>1515</v>
      </c>
      <c r="O96" s="24">
        <v>46266</v>
      </c>
      <c r="P96" s="8" t="s">
        <v>1549</v>
      </c>
    </row>
    <row r="97" spans="1:16" x14ac:dyDescent="0.2">
      <c r="A97" s="8" t="s">
        <v>1198</v>
      </c>
      <c r="B97" s="8" t="s">
        <v>1199</v>
      </c>
      <c r="C97" s="8" t="s">
        <v>1150</v>
      </c>
      <c r="D97" s="23">
        <v>2</v>
      </c>
      <c r="E97" s="8" t="s">
        <v>1200</v>
      </c>
      <c r="F97" s="8" t="s">
        <v>1201</v>
      </c>
      <c r="G97" s="8" t="s">
        <v>602</v>
      </c>
      <c r="H97" s="8" t="s">
        <v>738</v>
      </c>
      <c r="I97" s="8" t="s">
        <v>603</v>
      </c>
      <c r="J97" s="8" t="s">
        <v>608</v>
      </c>
      <c r="K97" s="24">
        <v>46064</v>
      </c>
      <c r="L97" s="24">
        <v>46009</v>
      </c>
      <c r="M97" s="24">
        <v>46013</v>
      </c>
      <c r="N97" s="8" t="s">
        <v>1184</v>
      </c>
      <c r="O97" s="24">
        <v>46054</v>
      </c>
      <c r="P97" s="8" t="s">
        <v>1347</v>
      </c>
    </row>
    <row r="98" spans="1:16" x14ac:dyDescent="0.2">
      <c r="A98" s="8" t="s">
        <v>1324</v>
      </c>
      <c r="B98" s="8" t="s">
        <v>1509</v>
      </c>
      <c r="C98" s="8" t="s">
        <v>1283</v>
      </c>
      <c r="D98" s="23">
        <v>2</v>
      </c>
      <c r="E98" s="8" t="s">
        <v>1283</v>
      </c>
      <c r="F98" s="8" t="s">
        <v>1632</v>
      </c>
      <c r="G98" s="8" t="s">
        <v>602</v>
      </c>
      <c r="H98" s="8" t="s">
        <v>744</v>
      </c>
      <c r="I98" s="8" t="s">
        <v>603</v>
      </c>
      <c r="J98" s="8" t="s">
        <v>608</v>
      </c>
      <c r="K98" s="24">
        <v>46105</v>
      </c>
      <c r="L98" s="24">
        <v>46083</v>
      </c>
      <c r="M98" s="24">
        <v>46085</v>
      </c>
      <c r="N98" s="8"/>
      <c r="O98" s="24"/>
      <c r="P98" s="8"/>
    </row>
    <row r="99" spans="1:16" x14ac:dyDescent="0.2">
      <c r="A99" s="8" t="s">
        <v>793</v>
      </c>
      <c r="B99" s="8" t="s">
        <v>794</v>
      </c>
      <c r="C99" s="8" t="s">
        <v>371</v>
      </c>
      <c r="D99" s="23">
        <v>2</v>
      </c>
      <c r="E99" s="8" t="s">
        <v>371</v>
      </c>
      <c r="F99" s="8" t="s">
        <v>795</v>
      </c>
      <c r="G99" s="8" t="s">
        <v>602</v>
      </c>
      <c r="H99" s="8" t="s">
        <v>744</v>
      </c>
      <c r="I99" s="8" t="s">
        <v>603</v>
      </c>
      <c r="J99" s="8" t="s">
        <v>608</v>
      </c>
      <c r="K99" s="24">
        <v>46105</v>
      </c>
      <c r="L99" s="24">
        <v>45882</v>
      </c>
      <c r="M99" s="24">
        <v>45892</v>
      </c>
      <c r="N99" s="8" t="s">
        <v>796</v>
      </c>
      <c r="O99" s="24">
        <v>46466</v>
      </c>
      <c r="P99" s="8" t="s">
        <v>1348</v>
      </c>
    </row>
    <row r="100" spans="1:16" x14ac:dyDescent="0.2">
      <c r="A100" s="8" t="s">
        <v>765</v>
      </c>
      <c r="B100" s="8" t="s">
        <v>1202</v>
      </c>
      <c r="C100" s="8" t="s">
        <v>380</v>
      </c>
      <c r="D100" s="23">
        <v>2</v>
      </c>
      <c r="E100" s="8" t="s">
        <v>380</v>
      </c>
      <c r="F100" s="8" t="s">
        <v>1203</v>
      </c>
      <c r="G100" s="8" t="s">
        <v>602</v>
      </c>
      <c r="H100" s="8" t="s">
        <v>744</v>
      </c>
      <c r="I100" s="8" t="s">
        <v>603</v>
      </c>
      <c r="J100" s="8" t="s">
        <v>608</v>
      </c>
      <c r="K100" s="24">
        <v>46105</v>
      </c>
      <c r="L100" s="24">
        <v>45972</v>
      </c>
      <c r="M100" s="24">
        <v>45974</v>
      </c>
      <c r="N100" s="8" t="s">
        <v>1161</v>
      </c>
      <c r="O100" s="24">
        <v>46631</v>
      </c>
      <c r="P100" s="8" t="s">
        <v>1312</v>
      </c>
    </row>
    <row r="101" spans="1:16" x14ac:dyDescent="0.2">
      <c r="A101" s="8" t="s">
        <v>1633</v>
      </c>
      <c r="B101" s="8" t="s">
        <v>1561</v>
      </c>
      <c r="C101" s="8" t="s">
        <v>52</v>
      </c>
      <c r="D101" s="23">
        <v>2</v>
      </c>
      <c r="E101" s="8" t="s">
        <v>52</v>
      </c>
      <c r="F101" s="8" t="s">
        <v>1562</v>
      </c>
      <c r="G101" s="8" t="s">
        <v>602</v>
      </c>
      <c r="H101" s="8" t="s">
        <v>1563</v>
      </c>
      <c r="I101" s="8" t="s">
        <v>603</v>
      </c>
      <c r="J101" s="8" t="s">
        <v>1560</v>
      </c>
      <c r="K101" s="24">
        <v>46108</v>
      </c>
      <c r="L101" s="24">
        <v>46107</v>
      </c>
      <c r="M101" s="24">
        <v>46107</v>
      </c>
      <c r="N101" s="8"/>
      <c r="O101" s="24"/>
      <c r="P101" s="8"/>
    </row>
    <row r="102" spans="1:16" x14ac:dyDescent="0.2">
      <c r="A102" s="8" t="s">
        <v>1209</v>
      </c>
      <c r="B102" s="8" t="s">
        <v>1210</v>
      </c>
      <c r="C102" s="8" t="s">
        <v>1139</v>
      </c>
      <c r="D102" s="23">
        <v>3</v>
      </c>
      <c r="E102" s="8" t="s">
        <v>1139</v>
      </c>
      <c r="F102" s="8" t="s">
        <v>1211</v>
      </c>
      <c r="G102" s="8" t="s">
        <v>602</v>
      </c>
      <c r="H102" s="8" t="s">
        <v>613</v>
      </c>
      <c r="I102" s="8" t="s">
        <v>603</v>
      </c>
      <c r="J102" s="8" t="s">
        <v>608</v>
      </c>
      <c r="K102" s="24">
        <v>46086</v>
      </c>
      <c r="L102" s="24">
        <v>46045</v>
      </c>
      <c r="M102" s="24">
        <v>46046</v>
      </c>
      <c r="N102" s="8" t="s">
        <v>1158</v>
      </c>
      <c r="O102" s="24">
        <v>46266</v>
      </c>
      <c r="P102" s="8" t="s">
        <v>1299</v>
      </c>
    </row>
    <row r="103" spans="1:16" x14ac:dyDescent="0.2">
      <c r="A103" s="8" t="s">
        <v>1059</v>
      </c>
      <c r="B103" s="8" t="s">
        <v>617</v>
      </c>
      <c r="C103" s="8" t="s">
        <v>468</v>
      </c>
      <c r="D103" s="23">
        <v>3</v>
      </c>
      <c r="E103" s="8" t="s">
        <v>1060</v>
      </c>
      <c r="F103" s="8" t="s">
        <v>1061</v>
      </c>
      <c r="G103" s="8" t="s">
        <v>602</v>
      </c>
      <c r="H103" s="8" t="s">
        <v>616</v>
      </c>
      <c r="I103" s="8" t="s">
        <v>603</v>
      </c>
      <c r="J103" s="8" t="s">
        <v>608</v>
      </c>
      <c r="K103" s="24">
        <v>46107</v>
      </c>
      <c r="L103" s="24">
        <v>45847</v>
      </c>
      <c r="M103" s="24">
        <v>46002</v>
      </c>
      <c r="N103" s="8" t="s">
        <v>618</v>
      </c>
      <c r="O103" s="24"/>
      <c r="P103" s="8"/>
    </row>
    <row r="104" spans="1:16" x14ac:dyDescent="0.2">
      <c r="A104" s="8" t="s">
        <v>1239</v>
      </c>
      <c r="B104" s="8" t="s">
        <v>1382</v>
      </c>
      <c r="C104" s="8" t="s">
        <v>74</v>
      </c>
      <c r="D104" s="23">
        <v>3</v>
      </c>
      <c r="E104" s="8" t="s">
        <v>1241</v>
      </c>
      <c r="F104" s="8" t="s">
        <v>1383</v>
      </c>
      <c r="G104" s="8" t="s">
        <v>602</v>
      </c>
      <c r="H104" s="8" t="s">
        <v>1104</v>
      </c>
      <c r="I104" s="8" t="s">
        <v>603</v>
      </c>
      <c r="J104" s="8" t="s">
        <v>608</v>
      </c>
      <c r="K104" s="24">
        <v>46111</v>
      </c>
      <c r="L104" s="24">
        <v>46058</v>
      </c>
      <c r="M104" s="24">
        <v>46062</v>
      </c>
      <c r="N104" s="8" t="s">
        <v>1318</v>
      </c>
      <c r="O104" s="24">
        <v>46266</v>
      </c>
      <c r="P104" s="8" t="s">
        <v>1319</v>
      </c>
    </row>
    <row r="105" spans="1:16" x14ac:dyDescent="0.2">
      <c r="A105" s="8" t="s">
        <v>769</v>
      </c>
      <c r="B105" s="8" t="s">
        <v>770</v>
      </c>
      <c r="C105" s="8" t="s">
        <v>391</v>
      </c>
      <c r="D105" s="23">
        <v>3</v>
      </c>
      <c r="E105" s="8" t="s">
        <v>771</v>
      </c>
      <c r="F105" s="8" t="s">
        <v>772</v>
      </c>
      <c r="G105" s="8" t="s">
        <v>602</v>
      </c>
      <c r="H105" s="8" t="s">
        <v>632</v>
      </c>
      <c r="I105" s="8" t="s">
        <v>603</v>
      </c>
      <c r="J105" s="8" t="s">
        <v>608</v>
      </c>
      <c r="K105" s="24">
        <v>46111</v>
      </c>
      <c r="L105" s="24">
        <v>45924</v>
      </c>
      <c r="M105" s="24">
        <v>45927</v>
      </c>
      <c r="N105" s="8" t="s">
        <v>622</v>
      </c>
      <c r="O105" s="24">
        <v>55128</v>
      </c>
      <c r="P105" s="8" t="s">
        <v>1317</v>
      </c>
    </row>
    <row r="106" spans="1:16" x14ac:dyDescent="0.2">
      <c r="A106" s="8" t="s">
        <v>1353</v>
      </c>
      <c r="B106" s="8" t="s">
        <v>785</v>
      </c>
      <c r="C106" s="8" t="s">
        <v>1354</v>
      </c>
      <c r="D106" s="23">
        <v>3</v>
      </c>
      <c r="E106" s="8" t="s">
        <v>1354</v>
      </c>
      <c r="F106" s="8" t="s">
        <v>1355</v>
      </c>
      <c r="G106" s="8" t="s">
        <v>602</v>
      </c>
      <c r="H106" s="8" t="s">
        <v>632</v>
      </c>
      <c r="I106" s="8" t="s">
        <v>603</v>
      </c>
      <c r="J106" s="8" t="s">
        <v>608</v>
      </c>
      <c r="K106" s="24">
        <v>46111</v>
      </c>
      <c r="L106" s="24">
        <v>46079</v>
      </c>
      <c r="M106" s="24">
        <v>46079</v>
      </c>
      <c r="N106" s="8"/>
      <c r="O106" s="24"/>
      <c r="P106" s="8"/>
    </row>
    <row r="107" spans="1:16" x14ac:dyDescent="0.2">
      <c r="A107" s="8" t="s">
        <v>645</v>
      </c>
      <c r="B107" s="8" t="s">
        <v>1216</v>
      </c>
      <c r="C107" s="8" t="s">
        <v>386</v>
      </c>
      <c r="D107" s="23">
        <v>3</v>
      </c>
      <c r="E107" s="8" t="s">
        <v>646</v>
      </c>
      <c r="F107" s="8" t="s">
        <v>1217</v>
      </c>
      <c r="G107" s="8" t="s">
        <v>602</v>
      </c>
      <c r="H107" s="8" t="s">
        <v>632</v>
      </c>
      <c r="I107" s="8" t="s">
        <v>603</v>
      </c>
      <c r="J107" s="8" t="s">
        <v>608</v>
      </c>
      <c r="K107" s="24">
        <v>46111</v>
      </c>
      <c r="L107" s="24">
        <v>45975</v>
      </c>
      <c r="M107" s="24">
        <v>45983</v>
      </c>
      <c r="N107" s="8" t="s">
        <v>1208</v>
      </c>
      <c r="O107" s="24">
        <v>54969</v>
      </c>
      <c r="P107" s="8" t="s">
        <v>1298</v>
      </c>
    </row>
    <row r="108" spans="1:16" x14ac:dyDescent="0.2">
      <c r="A108" s="8" t="s">
        <v>773</v>
      </c>
      <c r="B108" s="8" t="s">
        <v>774</v>
      </c>
      <c r="C108" s="8" t="s">
        <v>62</v>
      </c>
      <c r="D108" s="23">
        <v>3</v>
      </c>
      <c r="E108" s="8" t="s">
        <v>62</v>
      </c>
      <c r="F108" s="8" t="s">
        <v>775</v>
      </c>
      <c r="G108" s="8" t="s">
        <v>602</v>
      </c>
      <c r="H108" s="8" t="s">
        <v>653</v>
      </c>
      <c r="I108" s="8" t="s">
        <v>603</v>
      </c>
      <c r="J108" s="8" t="s">
        <v>608</v>
      </c>
      <c r="K108" s="24">
        <v>46100</v>
      </c>
      <c r="L108" s="24">
        <v>45457</v>
      </c>
      <c r="M108" s="24">
        <v>45460</v>
      </c>
      <c r="N108" s="8" t="s">
        <v>776</v>
      </c>
      <c r="O108" s="24"/>
      <c r="P108" s="8"/>
    </row>
    <row r="109" spans="1:16" x14ac:dyDescent="0.2">
      <c r="A109" s="8" t="s">
        <v>777</v>
      </c>
      <c r="B109" s="8" t="s">
        <v>778</v>
      </c>
      <c r="C109" s="8" t="s">
        <v>392</v>
      </c>
      <c r="D109" s="23">
        <v>3</v>
      </c>
      <c r="E109" s="8" t="s">
        <v>392</v>
      </c>
      <c r="F109" s="8" t="s">
        <v>779</v>
      </c>
      <c r="G109" s="8" t="s">
        <v>602</v>
      </c>
      <c r="H109" s="8" t="s">
        <v>653</v>
      </c>
      <c r="I109" s="8" t="s">
        <v>603</v>
      </c>
      <c r="J109" s="8" t="s">
        <v>608</v>
      </c>
      <c r="K109" s="24">
        <v>46100</v>
      </c>
      <c r="L109" s="24">
        <v>45916</v>
      </c>
      <c r="M109" s="24">
        <v>46050</v>
      </c>
      <c r="N109" s="8" t="s">
        <v>681</v>
      </c>
      <c r="O109" s="24">
        <v>55044</v>
      </c>
      <c r="P109" s="8" t="s">
        <v>1356</v>
      </c>
    </row>
    <row r="110" spans="1:16" x14ac:dyDescent="0.2">
      <c r="A110" s="8" t="s">
        <v>777</v>
      </c>
      <c r="B110" s="8" t="s">
        <v>1349</v>
      </c>
      <c r="C110" s="8" t="s">
        <v>392</v>
      </c>
      <c r="D110" s="23">
        <v>3</v>
      </c>
      <c r="E110" s="8" t="s">
        <v>392</v>
      </c>
      <c r="F110" s="8" t="s">
        <v>1350</v>
      </c>
      <c r="G110" s="8" t="s">
        <v>602</v>
      </c>
      <c r="H110" s="8" t="s">
        <v>1026</v>
      </c>
      <c r="I110" s="8" t="s">
        <v>603</v>
      </c>
      <c r="J110" s="8" t="s">
        <v>608</v>
      </c>
      <c r="K110" s="24">
        <v>46093</v>
      </c>
      <c r="L110" s="24">
        <v>46066</v>
      </c>
      <c r="M110" s="24">
        <v>46092</v>
      </c>
      <c r="N110" s="8" t="s">
        <v>1351</v>
      </c>
      <c r="O110" s="24">
        <v>46266</v>
      </c>
      <c r="P110" s="8" t="s">
        <v>1352</v>
      </c>
    </row>
    <row r="111" spans="1:16" x14ac:dyDescent="0.2">
      <c r="A111" s="8" t="s">
        <v>782</v>
      </c>
      <c r="B111" s="8" t="s">
        <v>774</v>
      </c>
      <c r="C111" s="8" t="s">
        <v>67</v>
      </c>
      <c r="D111" s="23">
        <v>3</v>
      </c>
      <c r="E111" s="8" t="s">
        <v>67</v>
      </c>
      <c r="F111" s="8" t="s">
        <v>783</v>
      </c>
      <c r="G111" s="8" t="s">
        <v>602</v>
      </c>
      <c r="H111" s="8" t="s">
        <v>686</v>
      </c>
      <c r="I111" s="8" t="s">
        <v>603</v>
      </c>
      <c r="J111" s="8" t="s">
        <v>608</v>
      </c>
      <c r="K111" s="24">
        <v>46111</v>
      </c>
      <c r="L111" s="24">
        <v>45457</v>
      </c>
      <c r="M111" s="24">
        <v>45638</v>
      </c>
      <c r="N111" s="8" t="s">
        <v>776</v>
      </c>
      <c r="O111" s="24"/>
      <c r="P111" s="8"/>
    </row>
    <row r="112" spans="1:16" x14ac:dyDescent="0.2">
      <c r="A112" s="8" t="s">
        <v>784</v>
      </c>
      <c r="B112" s="8" t="s">
        <v>785</v>
      </c>
      <c r="C112" s="8" t="s">
        <v>358</v>
      </c>
      <c r="D112" s="23">
        <v>3</v>
      </c>
      <c r="E112" s="8" t="s">
        <v>786</v>
      </c>
      <c r="F112" s="8" t="s">
        <v>787</v>
      </c>
      <c r="G112" s="8" t="s">
        <v>602</v>
      </c>
      <c r="H112" s="8" t="s">
        <v>718</v>
      </c>
      <c r="I112" s="8" t="s">
        <v>603</v>
      </c>
      <c r="J112" s="8" t="s">
        <v>608</v>
      </c>
      <c r="K112" s="24">
        <v>46100</v>
      </c>
      <c r="L112" s="24">
        <v>45800</v>
      </c>
      <c r="M112" s="24">
        <v>45800</v>
      </c>
      <c r="N112" s="8"/>
      <c r="O112" s="24"/>
      <c r="P112" s="8"/>
    </row>
    <row r="113" spans="1:16" x14ac:dyDescent="0.2">
      <c r="A113" s="8" t="s">
        <v>1544</v>
      </c>
      <c r="B113" s="8" t="s">
        <v>1509</v>
      </c>
      <c r="C113" s="8" t="s">
        <v>1546</v>
      </c>
      <c r="D113" s="23">
        <v>3</v>
      </c>
      <c r="E113" s="8" t="s">
        <v>1547</v>
      </c>
      <c r="F113" s="8" t="s">
        <v>1634</v>
      </c>
      <c r="G113" s="8" t="s">
        <v>602</v>
      </c>
      <c r="H113" s="8" t="s">
        <v>718</v>
      </c>
      <c r="I113" s="8" t="s">
        <v>603</v>
      </c>
      <c r="J113" s="8" t="s">
        <v>608</v>
      </c>
      <c r="K113" s="24">
        <v>46100</v>
      </c>
      <c r="L113" s="24">
        <v>46083</v>
      </c>
      <c r="M113" s="24">
        <v>46085</v>
      </c>
      <c r="N113" s="8"/>
      <c r="O113" s="24"/>
      <c r="P113" s="8"/>
    </row>
    <row r="114" spans="1:16" x14ac:dyDescent="0.2">
      <c r="A114" s="8" t="s">
        <v>1635</v>
      </c>
      <c r="B114" s="8" t="s">
        <v>1636</v>
      </c>
      <c r="C114" s="5" t="s">
        <v>69</v>
      </c>
      <c r="D114" s="23">
        <v>3</v>
      </c>
      <c r="E114" s="5" t="s">
        <v>69</v>
      </c>
      <c r="F114" s="8" t="s">
        <v>1637</v>
      </c>
      <c r="G114" s="8" t="s">
        <v>602</v>
      </c>
      <c r="H114" s="8" t="s">
        <v>1193</v>
      </c>
      <c r="I114" s="8" t="s">
        <v>603</v>
      </c>
      <c r="J114" s="8" t="s">
        <v>608</v>
      </c>
      <c r="K114" s="24">
        <v>46106</v>
      </c>
      <c r="L114" s="24">
        <v>46098</v>
      </c>
      <c r="M114" s="24">
        <v>46098</v>
      </c>
      <c r="N114" s="8" t="s">
        <v>1515</v>
      </c>
      <c r="O114" s="24">
        <v>46266</v>
      </c>
      <c r="P114" s="8" t="s">
        <v>1549</v>
      </c>
    </row>
    <row r="115" spans="1:16" x14ac:dyDescent="0.2">
      <c r="A115" s="8" t="s">
        <v>788</v>
      </c>
      <c r="B115" s="8" t="s">
        <v>789</v>
      </c>
      <c r="C115" s="8" t="s">
        <v>162</v>
      </c>
      <c r="D115" s="23">
        <v>3</v>
      </c>
      <c r="E115" s="8" t="s">
        <v>790</v>
      </c>
      <c r="F115" s="8" t="s">
        <v>791</v>
      </c>
      <c r="G115" s="8" t="s">
        <v>602</v>
      </c>
      <c r="H115" s="8" t="s">
        <v>719</v>
      </c>
      <c r="I115" s="8" t="s">
        <v>603</v>
      </c>
      <c r="J115" s="8" t="s">
        <v>608</v>
      </c>
      <c r="K115" s="24">
        <v>46086</v>
      </c>
      <c r="L115" s="24">
        <v>45776</v>
      </c>
      <c r="M115" s="24">
        <v>45777</v>
      </c>
      <c r="N115" s="8" t="s">
        <v>792</v>
      </c>
      <c r="O115" s="24"/>
      <c r="P115" s="8"/>
    </row>
    <row r="116" spans="1:16" x14ac:dyDescent="0.2">
      <c r="A116" s="8" t="s">
        <v>896</v>
      </c>
      <c r="B116" s="8" t="s">
        <v>897</v>
      </c>
      <c r="C116" s="8" t="s">
        <v>585</v>
      </c>
      <c r="D116" s="23">
        <v>3</v>
      </c>
      <c r="E116" s="8" t="s">
        <v>898</v>
      </c>
      <c r="F116" s="8" t="s">
        <v>899</v>
      </c>
      <c r="G116" s="8" t="s">
        <v>602</v>
      </c>
      <c r="H116" s="8" t="s">
        <v>727</v>
      </c>
      <c r="I116" s="8" t="s">
        <v>603</v>
      </c>
      <c r="J116" s="8" t="s">
        <v>608</v>
      </c>
      <c r="K116" s="24">
        <v>46108</v>
      </c>
      <c r="L116" s="24">
        <v>45937</v>
      </c>
      <c r="M116" s="24">
        <v>45948</v>
      </c>
      <c r="N116" s="8" t="s">
        <v>647</v>
      </c>
      <c r="O116" s="24">
        <v>47786</v>
      </c>
      <c r="P116" s="8" t="s">
        <v>1407</v>
      </c>
    </row>
    <row r="117" spans="1:16" x14ac:dyDescent="0.2">
      <c r="A117" s="8" t="s">
        <v>610</v>
      </c>
      <c r="B117" s="8" t="s">
        <v>1638</v>
      </c>
      <c r="C117" s="8" t="s">
        <v>611</v>
      </c>
      <c r="D117" s="23">
        <v>3</v>
      </c>
      <c r="E117" s="8" t="s">
        <v>612</v>
      </c>
      <c r="F117" s="8" t="s">
        <v>1639</v>
      </c>
      <c r="G117" s="8" t="s">
        <v>602</v>
      </c>
      <c r="H117" s="8" t="s">
        <v>768</v>
      </c>
      <c r="I117" s="8" t="s">
        <v>603</v>
      </c>
      <c r="J117" s="8" t="s">
        <v>608</v>
      </c>
      <c r="K117" s="24">
        <v>46098</v>
      </c>
      <c r="L117" s="24">
        <v>46090</v>
      </c>
      <c r="M117" s="24">
        <v>46091</v>
      </c>
      <c r="N117" s="8" t="s">
        <v>1613</v>
      </c>
      <c r="O117" s="24">
        <v>47545</v>
      </c>
      <c r="P117" s="8" t="s">
        <v>1614</v>
      </c>
    </row>
    <row r="118" spans="1:16" x14ac:dyDescent="0.2">
      <c r="A118" s="8" t="s">
        <v>1180</v>
      </c>
      <c r="B118" s="8" t="s">
        <v>1206</v>
      </c>
      <c r="C118" s="8" t="s">
        <v>1133</v>
      </c>
      <c r="D118" s="23">
        <v>3</v>
      </c>
      <c r="E118" s="8" t="s">
        <v>1182</v>
      </c>
      <c r="F118" s="8" t="s">
        <v>1207</v>
      </c>
      <c r="G118" s="8" t="s">
        <v>602</v>
      </c>
      <c r="H118" s="8" t="s">
        <v>734</v>
      </c>
      <c r="I118" s="8" t="s">
        <v>603</v>
      </c>
      <c r="J118" s="8" t="s">
        <v>608</v>
      </c>
      <c r="K118" s="24">
        <v>46108</v>
      </c>
      <c r="L118" s="24">
        <v>45975</v>
      </c>
      <c r="M118" s="24">
        <v>45983</v>
      </c>
      <c r="N118" s="8" t="s">
        <v>1208</v>
      </c>
      <c r="O118" s="24"/>
      <c r="P118" s="8"/>
    </row>
    <row r="119" spans="1:16" x14ac:dyDescent="0.2">
      <c r="A119" s="8" t="s">
        <v>1640</v>
      </c>
      <c r="B119" s="8" t="s">
        <v>1641</v>
      </c>
      <c r="C119" s="8" t="s">
        <v>1642</v>
      </c>
      <c r="D119" s="23">
        <v>3</v>
      </c>
      <c r="E119" s="8" t="s">
        <v>1643</v>
      </c>
      <c r="F119" s="8" t="s">
        <v>1644</v>
      </c>
      <c r="G119" s="8" t="s">
        <v>602</v>
      </c>
      <c r="H119" s="8" t="s">
        <v>1645</v>
      </c>
      <c r="I119" s="8" t="s">
        <v>603</v>
      </c>
      <c r="J119" s="8" t="s">
        <v>1560</v>
      </c>
      <c r="K119" s="24">
        <v>46108</v>
      </c>
      <c r="L119" s="24">
        <v>46108</v>
      </c>
      <c r="M119" s="24">
        <v>46108</v>
      </c>
      <c r="N119" s="8" t="s">
        <v>1569</v>
      </c>
      <c r="O119" s="24">
        <v>46266</v>
      </c>
      <c r="P119" s="8" t="s">
        <v>1570</v>
      </c>
    </row>
    <row r="120" spans="1:16" x14ac:dyDescent="0.2">
      <c r="A120" s="8" t="s">
        <v>1646</v>
      </c>
      <c r="B120" s="8" t="s">
        <v>1647</v>
      </c>
      <c r="C120" s="8" t="s">
        <v>1648</v>
      </c>
      <c r="D120" s="23">
        <v>3</v>
      </c>
      <c r="E120" s="8" t="s">
        <v>1648</v>
      </c>
      <c r="F120" s="8" t="s">
        <v>1649</v>
      </c>
      <c r="G120" s="8" t="s">
        <v>602</v>
      </c>
      <c r="H120" s="8" t="s">
        <v>1650</v>
      </c>
      <c r="I120" s="8" t="s">
        <v>603</v>
      </c>
      <c r="J120" s="8" t="s">
        <v>1560</v>
      </c>
      <c r="K120" s="24">
        <v>46108</v>
      </c>
      <c r="L120" s="24">
        <v>46108</v>
      </c>
      <c r="M120" s="24">
        <v>46108</v>
      </c>
      <c r="N120" s="8" t="s">
        <v>1569</v>
      </c>
      <c r="O120" s="24">
        <v>46266</v>
      </c>
      <c r="P120" s="8" t="s">
        <v>1570</v>
      </c>
    </row>
    <row r="121" spans="1:16" x14ac:dyDescent="0.2">
      <c r="A121" s="8" t="s">
        <v>1651</v>
      </c>
      <c r="B121" s="8" t="s">
        <v>1652</v>
      </c>
      <c r="C121" s="8" t="s">
        <v>1653</v>
      </c>
      <c r="D121" s="23">
        <v>3</v>
      </c>
      <c r="E121" s="8" t="s">
        <v>1653</v>
      </c>
      <c r="F121" s="8" t="s">
        <v>1654</v>
      </c>
      <c r="G121" s="8" t="s">
        <v>602</v>
      </c>
      <c r="H121" s="8" t="s">
        <v>1655</v>
      </c>
      <c r="I121" s="8" t="s">
        <v>603</v>
      </c>
      <c r="J121" s="8" t="s">
        <v>1560</v>
      </c>
      <c r="K121" s="24">
        <v>46108</v>
      </c>
      <c r="L121" s="24">
        <v>46108</v>
      </c>
      <c r="M121" s="24">
        <v>46108</v>
      </c>
      <c r="N121" s="8" t="s">
        <v>1569</v>
      </c>
      <c r="O121" s="24">
        <v>46266</v>
      </c>
      <c r="P121" s="8" t="s">
        <v>1570</v>
      </c>
    </row>
    <row r="122" spans="1:16" x14ac:dyDescent="0.2">
      <c r="A122" s="8" t="s">
        <v>1656</v>
      </c>
      <c r="B122" s="8" t="s">
        <v>1657</v>
      </c>
      <c r="C122" s="8" t="s">
        <v>1658</v>
      </c>
      <c r="D122" s="23">
        <v>3</v>
      </c>
      <c r="E122" s="8" t="s">
        <v>1658</v>
      </c>
      <c r="F122" s="8" t="s">
        <v>1659</v>
      </c>
      <c r="G122" s="8" t="s">
        <v>602</v>
      </c>
      <c r="H122" s="8" t="s">
        <v>1660</v>
      </c>
      <c r="I122" s="8" t="s">
        <v>603</v>
      </c>
      <c r="J122" s="8" t="s">
        <v>1560</v>
      </c>
      <c r="K122" s="24">
        <v>46108</v>
      </c>
      <c r="L122" s="24">
        <v>46108</v>
      </c>
      <c r="M122" s="24">
        <v>46108</v>
      </c>
      <c r="N122" s="8" t="s">
        <v>1569</v>
      </c>
      <c r="O122" s="24"/>
      <c r="P122" s="8"/>
    </row>
    <row r="123" spans="1:16" x14ac:dyDescent="0.2">
      <c r="A123" s="8" t="s">
        <v>1758</v>
      </c>
      <c r="B123" s="8" t="s">
        <v>1759</v>
      </c>
      <c r="C123" s="8" t="s">
        <v>1760</v>
      </c>
      <c r="D123" s="23">
        <v>3</v>
      </c>
      <c r="E123" s="8" t="s">
        <v>1760</v>
      </c>
      <c r="F123" s="8" t="s">
        <v>1761</v>
      </c>
      <c r="G123" s="8" t="s">
        <v>602</v>
      </c>
      <c r="H123" s="8" t="s">
        <v>1762</v>
      </c>
      <c r="I123" s="8" t="s">
        <v>603</v>
      </c>
      <c r="J123" s="8" t="s">
        <v>1560</v>
      </c>
      <c r="K123" s="24">
        <v>46111</v>
      </c>
      <c r="L123" s="24">
        <v>46111</v>
      </c>
      <c r="M123" s="24">
        <v>46111</v>
      </c>
      <c r="N123" s="8"/>
      <c r="O123" s="24"/>
      <c r="P123" s="8"/>
    </row>
    <row r="124" spans="1:16" x14ac:dyDescent="0.2">
      <c r="A124" s="8" t="s">
        <v>798</v>
      </c>
      <c r="B124" s="8" t="s">
        <v>1661</v>
      </c>
      <c r="C124" s="8" t="s">
        <v>70</v>
      </c>
      <c r="D124" s="23">
        <v>4</v>
      </c>
      <c r="E124" s="8" t="s">
        <v>799</v>
      </c>
      <c r="F124" s="8" t="s">
        <v>1662</v>
      </c>
      <c r="G124" s="8" t="s">
        <v>602</v>
      </c>
      <c r="H124" s="8" t="s">
        <v>745</v>
      </c>
      <c r="I124" s="8" t="s">
        <v>603</v>
      </c>
      <c r="J124" s="8" t="s">
        <v>608</v>
      </c>
      <c r="K124" s="24">
        <v>46107</v>
      </c>
      <c r="L124" s="24">
        <v>46100</v>
      </c>
      <c r="M124" s="24">
        <v>46107</v>
      </c>
      <c r="N124" s="8"/>
      <c r="O124" s="24"/>
      <c r="P124" s="8"/>
    </row>
    <row r="125" spans="1:16" x14ac:dyDescent="0.2">
      <c r="A125" s="8" t="s">
        <v>1209</v>
      </c>
      <c r="B125" s="8" t="s">
        <v>1509</v>
      </c>
      <c r="C125" s="8" t="s">
        <v>1139</v>
      </c>
      <c r="D125" s="23">
        <v>4</v>
      </c>
      <c r="E125" s="8" t="s">
        <v>1139</v>
      </c>
      <c r="F125" s="8" t="s">
        <v>1663</v>
      </c>
      <c r="G125" s="8" t="s">
        <v>602</v>
      </c>
      <c r="H125" s="8" t="s">
        <v>613</v>
      </c>
      <c r="I125" s="8" t="s">
        <v>603</v>
      </c>
      <c r="J125" s="8" t="s">
        <v>608</v>
      </c>
      <c r="K125" s="24">
        <v>46086</v>
      </c>
      <c r="L125" s="24">
        <v>46083</v>
      </c>
      <c r="M125" s="24">
        <v>46085</v>
      </c>
      <c r="N125" s="8"/>
      <c r="O125" s="24"/>
      <c r="P125" s="8"/>
    </row>
    <row r="126" spans="1:16" x14ac:dyDescent="0.2">
      <c r="A126" s="8" t="s">
        <v>633</v>
      </c>
      <c r="B126" s="8" t="s">
        <v>1359</v>
      </c>
      <c r="C126" s="8" t="s">
        <v>634</v>
      </c>
      <c r="D126" s="23">
        <v>4</v>
      </c>
      <c r="E126" s="8" t="s">
        <v>634</v>
      </c>
      <c r="F126" s="8" t="s">
        <v>1360</v>
      </c>
      <c r="G126" s="8" t="s">
        <v>602</v>
      </c>
      <c r="H126" s="8" t="s">
        <v>632</v>
      </c>
      <c r="I126" s="8" t="s">
        <v>603</v>
      </c>
      <c r="J126" s="8" t="s">
        <v>608</v>
      </c>
      <c r="K126" s="24">
        <v>46111</v>
      </c>
      <c r="L126" s="24">
        <v>46065</v>
      </c>
      <c r="M126" s="24">
        <v>46066</v>
      </c>
      <c r="N126" s="8" t="s">
        <v>1306</v>
      </c>
      <c r="O126" s="24"/>
      <c r="P126" s="8"/>
    </row>
    <row r="127" spans="1:16" x14ac:dyDescent="0.2">
      <c r="A127" s="8" t="s">
        <v>633</v>
      </c>
      <c r="B127" s="8" t="s">
        <v>1664</v>
      </c>
      <c r="C127" s="8" t="s">
        <v>634</v>
      </c>
      <c r="D127" s="23">
        <v>4</v>
      </c>
      <c r="E127" s="8" t="s">
        <v>634</v>
      </c>
      <c r="F127" s="8" t="s">
        <v>1665</v>
      </c>
      <c r="G127" s="8" t="s">
        <v>602</v>
      </c>
      <c r="H127" s="8" t="s">
        <v>632</v>
      </c>
      <c r="I127" s="8" t="s">
        <v>603</v>
      </c>
      <c r="J127" s="8" t="s">
        <v>608</v>
      </c>
      <c r="K127" s="24">
        <v>46111</v>
      </c>
      <c r="L127" s="24">
        <v>46101</v>
      </c>
      <c r="M127" s="24">
        <v>46107</v>
      </c>
      <c r="N127" s="8" t="s">
        <v>1523</v>
      </c>
      <c r="O127" s="24"/>
      <c r="P127" s="8"/>
    </row>
    <row r="128" spans="1:16" x14ac:dyDescent="0.2">
      <c r="A128" s="8" t="s">
        <v>1077</v>
      </c>
      <c r="B128" s="8" t="s">
        <v>1666</v>
      </c>
      <c r="C128" s="8" t="s">
        <v>143</v>
      </c>
      <c r="D128" s="23">
        <v>4</v>
      </c>
      <c r="E128" s="8" t="s">
        <v>143</v>
      </c>
      <c r="F128" s="8" t="s">
        <v>1667</v>
      </c>
      <c r="G128" s="8" t="s">
        <v>602</v>
      </c>
      <c r="H128" s="8" t="s">
        <v>1113</v>
      </c>
      <c r="I128" s="8" t="s">
        <v>603</v>
      </c>
      <c r="J128" s="8" t="s">
        <v>608</v>
      </c>
      <c r="K128" s="24">
        <v>46111</v>
      </c>
      <c r="L128" s="24">
        <v>46090</v>
      </c>
      <c r="M128" s="24">
        <v>46091</v>
      </c>
      <c r="N128" s="8" t="s">
        <v>1613</v>
      </c>
      <c r="O128" s="24">
        <v>47545</v>
      </c>
      <c r="P128" s="8" t="s">
        <v>1614</v>
      </c>
    </row>
    <row r="129" spans="1:16" x14ac:dyDescent="0.2">
      <c r="A129" s="8" t="s">
        <v>803</v>
      </c>
      <c r="B129" s="8" t="s">
        <v>804</v>
      </c>
      <c r="C129" s="8" t="s">
        <v>394</v>
      </c>
      <c r="D129" s="23">
        <v>4</v>
      </c>
      <c r="E129" s="8" t="s">
        <v>394</v>
      </c>
      <c r="F129" s="8" t="s">
        <v>805</v>
      </c>
      <c r="G129" s="8" t="s">
        <v>602</v>
      </c>
      <c r="H129" s="8" t="s">
        <v>1112</v>
      </c>
      <c r="I129" s="8" t="s">
        <v>603</v>
      </c>
      <c r="J129" s="8" t="s">
        <v>608</v>
      </c>
      <c r="K129" s="24">
        <v>46086</v>
      </c>
      <c r="L129" s="24">
        <v>45916</v>
      </c>
      <c r="M129" s="24">
        <v>46050</v>
      </c>
      <c r="N129" s="8" t="s">
        <v>681</v>
      </c>
      <c r="O129" s="24">
        <v>46386</v>
      </c>
      <c r="P129" s="8" t="s">
        <v>1364</v>
      </c>
    </row>
    <row r="130" spans="1:16" x14ac:dyDescent="0.2">
      <c r="A130" s="8" t="s">
        <v>803</v>
      </c>
      <c r="B130" s="8" t="s">
        <v>1357</v>
      </c>
      <c r="C130" s="8" t="s">
        <v>394</v>
      </c>
      <c r="D130" s="23">
        <v>4</v>
      </c>
      <c r="E130" s="8" t="s">
        <v>394</v>
      </c>
      <c r="F130" s="8" t="s">
        <v>1358</v>
      </c>
      <c r="G130" s="8" t="s">
        <v>602</v>
      </c>
      <c r="H130" s="8" t="s">
        <v>1112</v>
      </c>
      <c r="I130" s="8" t="s">
        <v>603</v>
      </c>
      <c r="J130" s="8" t="s">
        <v>608</v>
      </c>
      <c r="K130" s="24">
        <v>46086</v>
      </c>
      <c r="L130" s="24">
        <v>46066</v>
      </c>
      <c r="M130" s="24">
        <v>46086</v>
      </c>
      <c r="N130" s="8" t="s">
        <v>1351</v>
      </c>
      <c r="O130" s="24">
        <v>46266</v>
      </c>
      <c r="P130" s="8" t="s">
        <v>1352</v>
      </c>
    </row>
    <row r="131" spans="1:16" x14ac:dyDescent="0.2">
      <c r="A131" s="8" t="s">
        <v>1102</v>
      </c>
      <c r="B131" s="8" t="s">
        <v>1110</v>
      </c>
      <c r="C131" s="8" t="s">
        <v>578</v>
      </c>
      <c r="D131" s="23">
        <v>4</v>
      </c>
      <c r="E131" s="8" t="s">
        <v>1103</v>
      </c>
      <c r="F131" s="8" t="s">
        <v>1111</v>
      </c>
      <c r="G131" s="8" t="s">
        <v>602</v>
      </c>
      <c r="H131" s="8" t="s">
        <v>1112</v>
      </c>
      <c r="I131" s="8" t="s">
        <v>603</v>
      </c>
      <c r="J131" s="8" t="s">
        <v>608</v>
      </c>
      <c r="K131" s="24">
        <v>46086</v>
      </c>
      <c r="L131" s="24">
        <v>45947</v>
      </c>
      <c r="M131" s="24">
        <v>46003</v>
      </c>
      <c r="N131" s="8" t="s">
        <v>1090</v>
      </c>
      <c r="O131" s="24"/>
      <c r="P131" s="8"/>
    </row>
    <row r="132" spans="1:16" x14ac:dyDescent="0.2">
      <c r="A132" s="8" t="s">
        <v>1410</v>
      </c>
      <c r="B132" s="8" t="s">
        <v>785</v>
      </c>
      <c r="C132" s="8" t="s">
        <v>1411</v>
      </c>
      <c r="D132" s="23">
        <v>4</v>
      </c>
      <c r="E132" s="8" t="s">
        <v>1412</v>
      </c>
      <c r="F132" s="8" t="s">
        <v>1413</v>
      </c>
      <c r="G132" s="8" t="s">
        <v>602</v>
      </c>
      <c r="H132" s="8" t="s">
        <v>1170</v>
      </c>
      <c r="I132" s="8" t="s">
        <v>603</v>
      </c>
      <c r="J132" s="8" t="s">
        <v>608</v>
      </c>
      <c r="K132" s="24">
        <v>46099</v>
      </c>
      <c r="L132" s="24">
        <v>46079</v>
      </c>
      <c r="M132" s="24">
        <v>46079</v>
      </c>
      <c r="N132" s="8"/>
      <c r="O132" s="24"/>
      <c r="P132" s="8"/>
    </row>
    <row r="133" spans="1:16" x14ac:dyDescent="0.2">
      <c r="A133" s="8" t="s">
        <v>842</v>
      </c>
      <c r="B133" s="8" t="s">
        <v>843</v>
      </c>
      <c r="C133" s="8" t="s">
        <v>404</v>
      </c>
      <c r="D133" s="23">
        <v>4</v>
      </c>
      <c r="E133" s="8" t="s">
        <v>404</v>
      </c>
      <c r="F133" s="8" t="s">
        <v>844</v>
      </c>
      <c r="G133" s="8" t="s">
        <v>602</v>
      </c>
      <c r="H133" s="8" t="s">
        <v>1170</v>
      </c>
      <c r="I133" s="8" t="s">
        <v>603</v>
      </c>
      <c r="J133" s="8" t="s">
        <v>608</v>
      </c>
      <c r="K133" s="24">
        <v>46099</v>
      </c>
      <c r="L133" s="24">
        <v>45916</v>
      </c>
      <c r="M133" s="24">
        <v>46050</v>
      </c>
      <c r="N133" s="8" t="s">
        <v>681</v>
      </c>
      <c r="O133" s="24">
        <v>55044</v>
      </c>
      <c r="P133" s="8" t="s">
        <v>1365</v>
      </c>
    </row>
    <row r="134" spans="1:16" x14ac:dyDescent="0.2">
      <c r="A134" s="8" t="s">
        <v>1209</v>
      </c>
      <c r="B134" s="8" t="s">
        <v>1405</v>
      </c>
      <c r="C134" s="8" t="s">
        <v>1139</v>
      </c>
      <c r="D134" s="23">
        <v>4</v>
      </c>
      <c r="E134" s="8" t="s">
        <v>1139</v>
      </c>
      <c r="F134" s="8" t="s">
        <v>1406</v>
      </c>
      <c r="G134" s="8" t="s">
        <v>602</v>
      </c>
      <c r="H134" s="8" t="s">
        <v>711</v>
      </c>
      <c r="I134" s="8" t="s">
        <v>603</v>
      </c>
      <c r="J134" s="8" t="s">
        <v>608</v>
      </c>
      <c r="K134" s="24">
        <v>46107</v>
      </c>
      <c r="L134" s="24">
        <v>46073</v>
      </c>
      <c r="M134" s="24">
        <v>46079</v>
      </c>
      <c r="N134" s="8" t="s">
        <v>1300</v>
      </c>
      <c r="O134" s="24">
        <v>58805</v>
      </c>
      <c r="P134" s="8" t="s">
        <v>1298</v>
      </c>
    </row>
    <row r="135" spans="1:16" x14ac:dyDescent="0.2">
      <c r="A135" s="8" t="s">
        <v>1668</v>
      </c>
      <c r="B135" s="8" t="s">
        <v>1669</v>
      </c>
      <c r="C135" s="8" t="s">
        <v>1670</v>
      </c>
      <c r="D135" s="23">
        <v>4</v>
      </c>
      <c r="E135" s="8" t="s">
        <v>1670</v>
      </c>
      <c r="F135" s="8" t="s">
        <v>1671</v>
      </c>
      <c r="G135" s="8" t="s">
        <v>602</v>
      </c>
      <c r="H135" s="8" t="s">
        <v>734</v>
      </c>
      <c r="I135" s="8" t="s">
        <v>603</v>
      </c>
      <c r="J135" s="8" t="s">
        <v>608</v>
      </c>
      <c r="K135" s="24">
        <v>46108</v>
      </c>
      <c r="L135" s="24">
        <v>46098</v>
      </c>
      <c r="M135" s="24">
        <v>46098</v>
      </c>
      <c r="N135" s="8" t="s">
        <v>1515</v>
      </c>
      <c r="O135" s="24">
        <v>46266</v>
      </c>
      <c r="P135" s="8" t="s">
        <v>1549</v>
      </c>
    </row>
    <row r="136" spans="1:16" x14ac:dyDescent="0.2">
      <c r="A136" s="8" t="s">
        <v>800</v>
      </c>
      <c r="B136" s="8" t="s">
        <v>801</v>
      </c>
      <c r="C136" s="8" t="s">
        <v>393</v>
      </c>
      <c r="D136" s="23">
        <v>4</v>
      </c>
      <c r="E136" s="8" t="s">
        <v>393</v>
      </c>
      <c r="F136" s="8" t="s">
        <v>802</v>
      </c>
      <c r="G136" s="8" t="s">
        <v>602</v>
      </c>
      <c r="H136" s="8" t="s">
        <v>744</v>
      </c>
      <c r="I136" s="8" t="s">
        <v>603</v>
      </c>
      <c r="J136" s="8" t="s">
        <v>608</v>
      </c>
      <c r="K136" s="24">
        <v>46105</v>
      </c>
      <c r="L136" s="24">
        <v>45882</v>
      </c>
      <c r="M136" s="24">
        <v>45966</v>
      </c>
      <c r="N136" s="8" t="s">
        <v>796</v>
      </c>
      <c r="O136" s="24">
        <v>46442</v>
      </c>
      <c r="P136" s="8" t="s">
        <v>1348</v>
      </c>
    </row>
    <row r="137" spans="1:16" x14ac:dyDescent="0.2">
      <c r="A137" s="8" t="s">
        <v>1074</v>
      </c>
      <c r="B137" s="8" t="s">
        <v>1376</v>
      </c>
      <c r="C137" s="8" t="s">
        <v>470</v>
      </c>
      <c r="D137" s="23">
        <v>5</v>
      </c>
      <c r="E137" s="8" t="s">
        <v>470</v>
      </c>
      <c r="F137" s="8" t="s">
        <v>1377</v>
      </c>
      <c r="G137" s="8" t="s">
        <v>602</v>
      </c>
      <c r="H137" s="8" t="s">
        <v>613</v>
      </c>
      <c r="I137" s="8" t="s">
        <v>603</v>
      </c>
      <c r="J137" s="8" t="s">
        <v>608</v>
      </c>
      <c r="K137" s="24">
        <v>46086</v>
      </c>
      <c r="L137" s="24">
        <v>46066</v>
      </c>
      <c r="M137" s="24">
        <v>46066</v>
      </c>
      <c r="N137" s="8" t="s">
        <v>1351</v>
      </c>
      <c r="O137" s="24">
        <v>46266</v>
      </c>
      <c r="P137" s="8" t="s">
        <v>1352</v>
      </c>
    </row>
    <row r="138" spans="1:16" x14ac:dyDescent="0.2">
      <c r="A138" s="8" t="s">
        <v>900</v>
      </c>
      <c r="B138" s="8" t="s">
        <v>617</v>
      </c>
      <c r="C138" s="8" t="s">
        <v>373</v>
      </c>
      <c r="D138" s="23">
        <v>5</v>
      </c>
      <c r="E138" s="8" t="s">
        <v>901</v>
      </c>
      <c r="F138" s="8" t="s">
        <v>995</v>
      </c>
      <c r="G138" s="8" t="s">
        <v>602</v>
      </c>
      <c r="H138" s="8" t="s">
        <v>902</v>
      </c>
      <c r="I138" s="8" t="s">
        <v>603</v>
      </c>
      <c r="J138" s="8" t="s">
        <v>608</v>
      </c>
      <c r="K138" s="24">
        <v>46098</v>
      </c>
      <c r="L138" s="24">
        <v>45847</v>
      </c>
      <c r="M138" s="24">
        <v>46002</v>
      </c>
      <c r="N138" s="8" t="s">
        <v>618</v>
      </c>
      <c r="O138" s="24"/>
      <c r="P138" s="8"/>
    </row>
    <row r="139" spans="1:16" x14ac:dyDescent="0.2">
      <c r="A139" s="8" t="s">
        <v>1239</v>
      </c>
      <c r="B139" s="8" t="s">
        <v>1240</v>
      </c>
      <c r="C139" s="8" t="s">
        <v>74</v>
      </c>
      <c r="D139" s="23">
        <v>5</v>
      </c>
      <c r="E139" s="8" t="s">
        <v>1241</v>
      </c>
      <c r="F139" s="8" t="s">
        <v>1242</v>
      </c>
      <c r="G139" s="8" t="s">
        <v>602</v>
      </c>
      <c r="H139" s="8" t="s">
        <v>1104</v>
      </c>
      <c r="I139" s="8" t="s">
        <v>603</v>
      </c>
      <c r="J139" s="8" t="s">
        <v>608</v>
      </c>
      <c r="K139" s="24">
        <v>46111</v>
      </c>
      <c r="L139" s="24">
        <v>46031</v>
      </c>
      <c r="M139" s="24">
        <v>46036</v>
      </c>
      <c r="N139" s="8" t="s">
        <v>1160</v>
      </c>
      <c r="O139" s="24">
        <v>58805</v>
      </c>
      <c r="P139" s="8" t="s">
        <v>1298</v>
      </c>
    </row>
    <row r="140" spans="1:16" x14ac:dyDescent="0.2">
      <c r="A140" s="8" t="s">
        <v>1077</v>
      </c>
      <c r="B140" s="8" t="s">
        <v>1384</v>
      </c>
      <c r="C140" s="8" t="s">
        <v>143</v>
      </c>
      <c r="D140" s="23">
        <v>5</v>
      </c>
      <c r="E140" s="8" t="s">
        <v>143</v>
      </c>
      <c r="F140" s="8" t="s">
        <v>1385</v>
      </c>
      <c r="G140" s="8" t="s">
        <v>602</v>
      </c>
      <c r="H140" s="8" t="s">
        <v>1104</v>
      </c>
      <c r="I140" s="8" t="s">
        <v>603</v>
      </c>
      <c r="J140" s="8" t="s">
        <v>608</v>
      </c>
      <c r="K140" s="24">
        <v>46111</v>
      </c>
      <c r="L140" s="24">
        <v>46065</v>
      </c>
      <c r="M140" s="24">
        <v>46066</v>
      </c>
      <c r="N140" s="8" t="s">
        <v>1306</v>
      </c>
      <c r="O140" s="24">
        <v>58805</v>
      </c>
      <c r="P140" s="8" t="s">
        <v>1298</v>
      </c>
    </row>
    <row r="141" spans="1:16" x14ac:dyDescent="0.2">
      <c r="A141" s="8" t="s">
        <v>1209</v>
      </c>
      <c r="B141" s="8" t="s">
        <v>1386</v>
      </c>
      <c r="C141" s="8" t="s">
        <v>1139</v>
      </c>
      <c r="D141" s="23">
        <v>5</v>
      </c>
      <c r="E141" s="8" t="s">
        <v>1139</v>
      </c>
      <c r="F141" s="8" t="s">
        <v>1387</v>
      </c>
      <c r="G141" s="8" t="s">
        <v>602</v>
      </c>
      <c r="H141" s="8" t="s">
        <v>1388</v>
      </c>
      <c r="I141" s="8" t="s">
        <v>603</v>
      </c>
      <c r="J141" s="8" t="s">
        <v>608</v>
      </c>
      <c r="K141" s="24">
        <v>46111</v>
      </c>
      <c r="L141" s="24">
        <v>46065</v>
      </c>
      <c r="M141" s="24">
        <v>46066</v>
      </c>
      <c r="N141" s="8" t="s">
        <v>1306</v>
      </c>
      <c r="O141" s="24">
        <v>58805</v>
      </c>
      <c r="P141" s="8" t="s">
        <v>1298</v>
      </c>
    </row>
    <row r="142" spans="1:16" x14ac:dyDescent="0.2">
      <c r="A142" s="8" t="s">
        <v>818</v>
      </c>
      <c r="B142" s="8" t="s">
        <v>819</v>
      </c>
      <c r="C142" s="8" t="s">
        <v>397</v>
      </c>
      <c r="D142" s="23">
        <v>5</v>
      </c>
      <c r="E142" s="8" t="s">
        <v>397</v>
      </c>
      <c r="F142" s="8" t="s">
        <v>820</v>
      </c>
      <c r="G142" s="8" t="s">
        <v>602</v>
      </c>
      <c r="H142" s="8" t="s">
        <v>1085</v>
      </c>
      <c r="I142" s="8" t="s">
        <v>603</v>
      </c>
      <c r="J142" s="8" t="s">
        <v>608</v>
      </c>
      <c r="K142" s="24">
        <v>46050</v>
      </c>
      <c r="L142" s="24">
        <v>45916</v>
      </c>
      <c r="M142" s="24">
        <v>46050</v>
      </c>
      <c r="N142" s="8" t="s">
        <v>681</v>
      </c>
      <c r="O142" s="24">
        <v>55044</v>
      </c>
      <c r="P142" s="8" t="s">
        <v>1364</v>
      </c>
    </row>
    <row r="143" spans="1:16" x14ac:dyDescent="0.2">
      <c r="A143" s="8" t="s">
        <v>1389</v>
      </c>
      <c r="B143" s="8" t="s">
        <v>785</v>
      </c>
      <c r="C143" s="8" t="s">
        <v>1390</v>
      </c>
      <c r="D143" s="23">
        <v>5</v>
      </c>
      <c r="E143" s="8" t="s">
        <v>1390</v>
      </c>
      <c r="F143" s="8" t="s">
        <v>1391</v>
      </c>
      <c r="G143" s="8" t="s">
        <v>602</v>
      </c>
      <c r="H143" s="8" t="s">
        <v>632</v>
      </c>
      <c r="I143" s="8" t="s">
        <v>603</v>
      </c>
      <c r="J143" s="8" t="s">
        <v>608</v>
      </c>
      <c r="K143" s="24">
        <v>46111</v>
      </c>
      <c r="L143" s="24">
        <v>46079</v>
      </c>
      <c r="M143" s="24">
        <v>46079</v>
      </c>
      <c r="N143" s="8"/>
      <c r="O143" s="24"/>
      <c r="P143" s="8"/>
    </row>
    <row r="144" spans="1:16" x14ac:dyDescent="0.2">
      <c r="A144" s="8" t="s">
        <v>812</v>
      </c>
      <c r="B144" s="8" t="s">
        <v>813</v>
      </c>
      <c r="C144" s="8" t="s">
        <v>395</v>
      </c>
      <c r="D144" s="23">
        <v>5</v>
      </c>
      <c r="E144" s="8" t="s">
        <v>395</v>
      </c>
      <c r="F144" s="8" t="s">
        <v>814</v>
      </c>
      <c r="G144" s="8" t="s">
        <v>602</v>
      </c>
      <c r="H144" s="8" t="s">
        <v>1026</v>
      </c>
      <c r="I144" s="8" t="s">
        <v>603</v>
      </c>
      <c r="J144" s="8" t="s">
        <v>608</v>
      </c>
      <c r="K144" s="24">
        <v>46093</v>
      </c>
      <c r="L144" s="24">
        <v>45916</v>
      </c>
      <c r="M144" s="24">
        <v>46092</v>
      </c>
      <c r="N144" s="8" t="s">
        <v>681</v>
      </c>
      <c r="O144" s="24">
        <v>55044</v>
      </c>
      <c r="P144" s="8" t="s">
        <v>1356</v>
      </c>
    </row>
    <row r="145" spans="1:16" x14ac:dyDescent="0.2">
      <c r="A145" s="8" t="s">
        <v>812</v>
      </c>
      <c r="B145" s="8" t="s">
        <v>1366</v>
      </c>
      <c r="C145" s="8" t="s">
        <v>395</v>
      </c>
      <c r="D145" s="23">
        <v>5</v>
      </c>
      <c r="E145" s="8" t="s">
        <v>395</v>
      </c>
      <c r="F145" s="8" t="s">
        <v>1367</v>
      </c>
      <c r="G145" s="8" t="s">
        <v>602</v>
      </c>
      <c r="H145" s="8" t="s">
        <v>1026</v>
      </c>
      <c r="I145" s="8" t="s">
        <v>603</v>
      </c>
      <c r="J145" s="8" t="s">
        <v>608</v>
      </c>
      <c r="K145" s="24">
        <v>46093</v>
      </c>
      <c r="L145" s="24">
        <v>46066</v>
      </c>
      <c r="M145" s="24">
        <v>46092</v>
      </c>
      <c r="N145" s="8" t="s">
        <v>1351</v>
      </c>
      <c r="O145" s="24">
        <v>46266</v>
      </c>
      <c r="P145" s="8" t="s">
        <v>1352</v>
      </c>
    </row>
    <row r="146" spans="1:16" x14ac:dyDescent="0.2">
      <c r="A146" s="8" t="s">
        <v>827</v>
      </c>
      <c r="B146" s="8" t="s">
        <v>828</v>
      </c>
      <c r="C146" s="8" t="s">
        <v>399</v>
      </c>
      <c r="D146" s="23">
        <v>5</v>
      </c>
      <c r="E146" s="8" t="s">
        <v>399</v>
      </c>
      <c r="F146" s="8" t="s">
        <v>829</v>
      </c>
      <c r="G146" s="8" t="s">
        <v>602</v>
      </c>
      <c r="H146" s="8" t="s">
        <v>1026</v>
      </c>
      <c r="I146" s="8" t="s">
        <v>603</v>
      </c>
      <c r="J146" s="8" t="s">
        <v>608</v>
      </c>
      <c r="K146" s="24">
        <v>46093</v>
      </c>
      <c r="L146" s="24">
        <v>45916</v>
      </c>
      <c r="M146" s="24">
        <v>46092</v>
      </c>
      <c r="N146" s="8" t="s">
        <v>681</v>
      </c>
      <c r="O146" s="24">
        <v>55044</v>
      </c>
      <c r="P146" s="8" t="s">
        <v>1356</v>
      </c>
    </row>
    <row r="147" spans="1:16" x14ac:dyDescent="0.2">
      <c r="A147" s="8" t="s">
        <v>827</v>
      </c>
      <c r="B147" s="8" t="s">
        <v>1368</v>
      </c>
      <c r="C147" s="8" t="s">
        <v>399</v>
      </c>
      <c r="D147" s="23">
        <v>5</v>
      </c>
      <c r="E147" s="8" t="s">
        <v>399</v>
      </c>
      <c r="F147" s="8" t="s">
        <v>1369</v>
      </c>
      <c r="G147" s="8" t="s">
        <v>602</v>
      </c>
      <c r="H147" s="8" t="s">
        <v>1026</v>
      </c>
      <c r="I147" s="8" t="s">
        <v>603</v>
      </c>
      <c r="J147" s="8" t="s">
        <v>608</v>
      </c>
      <c r="K147" s="24">
        <v>46093</v>
      </c>
      <c r="L147" s="24">
        <v>46066</v>
      </c>
      <c r="M147" s="24">
        <v>46092</v>
      </c>
      <c r="N147" s="8" t="s">
        <v>1351</v>
      </c>
      <c r="O147" s="24">
        <v>46266</v>
      </c>
      <c r="P147" s="8" t="s">
        <v>1352</v>
      </c>
    </row>
    <row r="148" spans="1:16" x14ac:dyDescent="0.2">
      <c r="A148" s="8" t="s">
        <v>830</v>
      </c>
      <c r="B148" s="8" t="s">
        <v>831</v>
      </c>
      <c r="C148" s="8" t="s">
        <v>400</v>
      </c>
      <c r="D148" s="23">
        <v>5</v>
      </c>
      <c r="E148" s="8" t="s">
        <v>400</v>
      </c>
      <c r="F148" s="8" t="s">
        <v>832</v>
      </c>
      <c r="G148" s="8" t="s">
        <v>602</v>
      </c>
      <c r="H148" s="8" t="s">
        <v>1026</v>
      </c>
      <c r="I148" s="8" t="s">
        <v>603</v>
      </c>
      <c r="J148" s="8" t="s">
        <v>608</v>
      </c>
      <c r="K148" s="24">
        <v>46093</v>
      </c>
      <c r="L148" s="24">
        <v>45916</v>
      </c>
      <c r="M148" s="24">
        <v>46092</v>
      </c>
      <c r="N148" s="8" t="s">
        <v>681</v>
      </c>
      <c r="O148" s="24">
        <v>55044</v>
      </c>
      <c r="P148" s="8" t="s">
        <v>1356</v>
      </c>
    </row>
    <row r="149" spans="1:16" x14ac:dyDescent="0.2">
      <c r="A149" s="8" t="s">
        <v>830</v>
      </c>
      <c r="B149" s="8" t="s">
        <v>1370</v>
      </c>
      <c r="C149" s="8" t="s">
        <v>400</v>
      </c>
      <c r="D149" s="23">
        <v>5</v>
      </c>
      <c r="E149" s="8" t="s">
        <v>400</v>
      </c>
      <c r="F149" s="8" t="s">
        <v>1371</v>
      </c>
      <c r="G149" s="8" t="s">
        <v>602</v>
      </c>
      <c r="H149" s="8" t="s">
        <v>1026</v>
      </c>
      <c r="I149" s="8" t="s">
        <v>603</v>
      </c>
      <c r="J149" s="8" t="s">
        <v>608</v>
      </c>
      <c r="K149" s="24">
        <v>46093</v>
      </c>
      <c r="L149" s="24">
        <v>46066</v>
      </c>
      <c r="M149" s="24">
        <v>46092</v>
      </c>
      <c r="N149" s="8" t="s">
        <v>1351</v>
      </c>
      <c r="O149" s="24">
        <v>46266</v>
      </c>
      <c r="P149" s="8" t="s">
        <v>1352</v>
      </c>
    </row>
    <row r="150" spans="1:16" x14ac:dyDescent="0.2">
      <c r="A150" s="8" t="s">
        <v>833</v>
      </c>
      <c r="B150" s="8" t="s">
        <v>834</v>
      </c>
      <c r="C150" s="8" t="s">
        <v>401</v>
      </c>
      <c r="D150" s="23">
        <v>5</v>
      </c>
      <c r="E150" s="8" t="s">
        <v>401</v>
      </c>
      <c r="F150" s="8" t="s">
        <v>835</v>
      </c>
      <c r="G150" s="8" t="s">
        <v>602</v>
      </c>
      <c r="H150" s="8" t="s">
        <v>1026</v>
      </c>
      <c r="I150" s="8" t="s">
        <v>603</v>
      </c>
      <c r="J150" s="8" t="s">
        <v>608</v>
      </c>
      <c r="K150" s="24">
        <v>46093</v>
      </c>
      <c r="L150" s="24">
        <v>45916</v>
      </c>
      <c r="M150" s="24">
        <v>46092</v>
      </c>
      <c r="N150" s="8" t="s">
        <v>681</v>
      </c>
      <c r="O150" s="24">
        <v>55044</v>
      </c>
      <c r="P150" s="8" t="s">
        <v>1356</v>
      </c>
    </row>
    <row r="151" spans="1:16" x14ac:dyDescent="0.2">
      <c r="A151" s="8" t="s">
        <v>833</v>
      </c>
      <c r="B151" s="8" t="s">
        <v>1372</v>
      </c>
      <c r="C151" s="8" t="s">
        <v>401</v>
      </c>
      <c r="D151" s="23">
        <v>5</v>
      </c>
      <c r="E151" s="8" t="s">
        <v>401</v>
      </c>
      <c r="F151" s="8" t="s">
        <v>1373</v>
      </c>
      <c r="G151" s="8" t="s">
        <v>602</v>
      </c>
      <c r="H151" s="8" t="s">
        <v>1026</v>
      </c>
      <c r="I151" s="8" t="s">
        <v>603</v>
      </c>
      <c r="J151" s="8" t="s">
        <v>608</v>
      </c>
      <c r="K151" s="24">
        <v>46093</v>
      </c>
      <c r="L151" s="24">
        <v>46066</v>
      </c>
      <c r="M151" s="24">
        <v>46092</v>
      </c>
      <c r="N151" s="8" t="s">
        <v>1351</v>
      </c>
      <c r="O151" s="24">
        <v>46266</v>
      </c>
      <c r="P151" s="8" t="s">
        <v>1352</v>
      </c>
    </row>
    <row r="152" spans="1:16" x14ac:dyDescent="0.2">
      <c r="A152" s="8" t="s">
        <v>836</v>
      </c>
      <c r="B152" s="8" t="s">
        <v>837</v>
      </c>
      <c r="C152" s="8" t="s">
        <v>402</v>
      </c>
      <c r="D152" s="23">
        <v>5</v>
      </c>
      <c r="E152" s="8" t="s">
        <v>402</v>
      </c>
      <c r="F152" s="8" t="s">
        <v>838</v>
      </c>
      <c r="G152" s="8" t="s">
        <v>602</v>
      </c>
      <c r="H152" s="8" t="s">
        <v>1026</v>
      </c>
      <c r="I152" s="8" t="s">
        <v>603</v>
      </c>
      <c r="J152" s="8" t="s">
        <v>608</v>
      </c>
      <c r="K152" s="24">
        <v>46093</v>
      </c>
      <c r="L152" s="24">
        <v>45916</v>
      </c>
      <c r="M152" s="24">
        <v>46092</v>
      </c>
      <c r="N152" s="8" t="s">
        <v>681</v>
      </c>
      <c r="O152" s="24">
        <v>55044</v>
      </c>
      <c r="P152" s="8" t="s">
        <v>1356</v>
      </c>
    </row>
    <row r="153" spans="1:16" x14ac:dyDescent="0.2">
      <c r="A153" s="8" t="s">
        <v>836</v>
      </c>
      <c r="B153" s="8" t="s">
        <v>1374</v>
      </c>
      <c r="C153" s="8" t="s">
        <v>402</v>
      </c>
      <c r="D153" s="23">
        <v>5</v>
      </c>
      <c r="E153" s="8" t="s">
        <v>402</v>
      </c>
      <c r="F153" s="8" t="s">
        <v>1375</v>
      </c>
      <c r="G153" s="8" t="s">
        <v>602</v>
      </c>
      <c r="H153" s="8" t="s">
        <v>1026</v>
      </c>
      <c r="I153" s="8" t="s">
        <v>603</v>
      </c>
      <c r="J153" s="8" t="s">
        <v>608</v>
      </c>
      <c r="K153" s="24">
        <v>46093</v>
      </c>
      <c r="L153" s="24">
        <v>46066</v>
      </c>
      <c r="M153" s="24">
        <v>46092</v>
      </c>
      <c r="N153" s="8" t="s">
        <v>1351</v>
      </c>
      <c r="O153" s="24">
        <v>46266</v>
      </c>
      <c r="P153" s="8" t="s">
        <v>1352</v>
      </c>
    </row>
    <row r="154" spans="1:16" x14ac:dyDescent="0.2">
      <c r="A154" s="8" t="s">
        <v>1049</v>
      </c>
      <c r="B154" s="8" t="s">
        <v>1378</v>
      </c>
      <c r="C154" s="8" t="s">
        <v>465</v>
      </c>
      <c r="D154" s="23">
        <v>5</v>
      </c>
      <c r="E154" s="8" t="s">
        <v>465</v>
      </c>
      <c r="F154" s="8" t="s">
        <v>1379</v>
      </c>
      <c r="G154" s="8" t="s">
        <v>602</v>
      </c>
      <c r="H154" s="8" t="s">
        <v>1112</v>
      </c>
      <c r="I154" s="8" t="s">
        <v>603</v>
      </c>
      <c r="J154" s="8" t="s">
        <v>608</v>
      </c>
      <c r="K154" s="24">
        <v>46086</v>
      </c>
      <c r="L154" s="24">
        <v>46066</v>
      </c>
      <c r="M154" s="24">
        <v>46086</v>
      </c>
      <c r="N154" s="8" t="s">
        <v>1351</v>
      </c>
      <c r="O154" s="24">
        <v>46266</v>
      </c>
      <c r="P154" s="8" t="s">
        <v>1352</v>
      </c>
    </row>
    <row r="155" spans="1:16" x14ac:dyDescent="0.2">
      <c r="A155" s="8" t="s">
        <v>815</v>
      </c>
      <c r="B155" s="8" t="s">
        <v>816</v>
      </c>
      <c r="C155" s="8" t="s">
        <v>396</v>
      </c>
      <c r="D155" s="23">
        <v>5</v>
      </c>
      <c r="E155" s="8" t="s">
        <v>396</v>
      </c>
      <c r="F155" s="8" t="s">
        <v>817</v>
      </c>
      <c r="G155" s="8" t="s">
        <v>602</v>
      </c>
      <c r="H155" s="8" t="s">
        <v>1112</v>
      </c>
      <c r="I155" s="8" t="s">
        <v>603</v>
      </c>
      <c r="J155" s="8" t="s">
        <v>608</v>
      </c>
      <c r="K155" s="24">
        <v>46086</v>
      </c>
      <c r="L155" s="24">
        <v>45916</v>
      </c>
      <c r="M155" s="24">
        <v>46050</v>
      </c>
      <c r="N155" s="8" t="s">
        <v>681</v>
      </c>
      <c r="O155" s="24">
        <v>47847</v>
      </c>
      <c r="P155" s="8" t="s">
        <v>1364</v>
      </c>
    </row>
    <row r="156" spans="1:16" x14ac:dyDescent="0.2">
      <c r="A156" s="8" t="s">
        <v>818</v>
      </c>
      <c r="B156" s="8" t="s">
        <v>1380</v>
      </c>
      <c r="C156" s="8" t="s">
        <v>397</v>
      </c>
      <c r="D156" s="23">
        <v>5</v>
      </c>
      <c r="E156" s="8" t="s">
        <v>397</v>
      </c>
      <c r="F156" s="8" t="s">
        <v>1381</v>
      </c>
      <c r="G156" s="8" t="s">
        <v>602</v>
      </c>
      <c r="H156" s="8" t="s">
        <v>1112</v>
      </c>
      <c r="I156" s="8" t="s">
        <v>603</v>
      </c>
      <c r="J156" s="8" t="s">
        <v>608</v>
      </c>
      <c r="K156" s="24">
        <v>46086</v>
      </c>
      <c r="L156" s="24">
        <v>46066</v>
      </c>
      <c r="M156" s="24">
        <v>46086</v>
      </c>
      <c r="N156" s="8" t="s">
        <v>1351</v>
      </c>
      <c r="O156" s="24">
        <v>46266</v>
      </c>
      <c r="P156" s="8" t="s">
        <v>1352</v>
      </c>
    </row>
    <row r="157" spans="1:16" x14ac:dyDescent="0.2">
      <c r="A157" s="8" t="s">
        <v>824</v>
      </c>
      <c r="B157" s="8" t="s">
        <v>825</v>
      </c>
      <c r="C157" s="8" t="s">
        <v>422</v>
      </c>
      <c r="D157" s="23">
        <v>5</v>
      </c>
      <c r="E157" s="8" t="s">
        <v>422</v>
      </c>
      <c r="F157" s="8" t="s">
        <v>826</v>
      </c>
      <c r="G157" s="8" t="s">
        <v>602</v>
      </c>
      <c r="H157" s="8" t="s">
        <v>1112</v>
      </c>
      <c r="I157" s="8" t="s">
        <v>603</v>
      </c>
      <c r="J157" s="8" t="s">
        <v>608</v>
      </c>
      <c r="K157" s="24">
        <v>46086</v>
      </c>
      <c r="L157" s="24">
        <v>45916</v>
      </c>
      <c r="M157" s="24">
        <v>46050</v>
      </c>
      <c r="N157" s="8" t="s">
        <v>681</v>
      </c>
      <c r="O157" s="24">
        <v>46386</v>
      </c>
      <c r="P157" s="8" t="s">
        <v>1364</v>
      </c>
    </row>
    <row r="158" spans="1:16" x14ac:dyDescent="0.2">
      <c r="A158" s="8" t="s">
        <v>821</v>
      </c>
      <c r="B158" s="8" t="s">
        <v>822</v>
      </c>
      <c r="C158" s="8" t="s">
        <v>398</v>
      </c>
      <c r="D158" s="23">
        <v>5</v>
      </c>
      <c r="E158" s="8" t="s">
        <v>398</v>
      </c>
      <c r="F158" s="8" t="s">
        <v>823</v>
      </c>
      <c r="G158" s="8" t="s">
        <v>602</v>
      </c>
      <c r="H158" s="8" t="s">
        <v>1092</v>
      </c>
      <c r="I158" s="8" t="s">
        <v>603</v>
      </c>
      <c r="J158" s="8" t="s">
        <v>608</v>
      </c>
      <c r="K158" s="24">
        <v>46050</v>
      </c>
      <c r="L158" s="24">
        <v>45916</v>
      </c>
      <c r="M158" s="24">
        <v>46050</v>
      </c>
      <c r="N158" s="8" t="s">
        <v>681</v>
      </c>
      <c r="O158" s="24">
        <v>55043</v>
      </c>
      <c r="P158" s="8" t="s">
        <v>1392</v>
      </c>
    </row>
    <row r="159" spans="1:16" x14ac:dyDescent="0.2">
      <c r="A159" s="8" t="s">
        <v>839</v>
      </c>
      <c r="B159" s="8" t="s">
        <v>840</v>
      </c>
      <c r="C159" s="8" t="s">
        <v>403</v>
      </c>
      <c r="D159" s="23">
        <v>5</v>
      </c>
      <c r="E159" s="8" t="s">
        <v>403</v>
      </c>
      <c r="F159" s="8" t="s">
        <v>841</v>
      </c>
      <c r="G159" s="8" t="s">
        <v>602</v>
      </c>
      <c r="H159" s="8" t="s">
        <v>1170</v>
      </c>
      <c r="I159" s="8" t="s">
        <v>603</v>
      </c>
      <c r="J159" s="8" t="s">
        <v>608</v>
      </c>
      <c r="K159" s="24">
        <v>46099</v>
      </c>
      <c r="L159" s="24">
        <v>45916</v>
      </c>
      <c r="M159" s="24">
        <v>46050</v>
      </c>
      <c r="N159" s="8" t="s">
        <v>681</v>
      </c>
      <c r="O159" s="24">
        <v>55044</v>
      </c>
      <c r="P159" s="8" t="s">
        <v>1365</v>
      </c>
    </row>
    <row r="160" spans="1:16" x14ac:dyDescent="0.2">
      <c r="A160" s="8" t="s">
        <v>845</v>
      </c>
      <c r="B160" s="8" t="s">
        <v>846</v>
      </c>
      <c r="C160" s="8" t="s">
        <v>405</v>
      </c>
      <c r="D160" s="23">
        <v>5</v>
      </c>
      <c r="E160" s="8" t="s">
        <v>405</v>
      </c>
      <c r="F160" s="8" t="s">
        <v>847</v>
      </c>
      <c r="G160" s="8" t="s">
        <v>602</v>
      </c>
      <c r="H160" s="8" t="s">
        <v>1170</v>
      </c>
      <c r="I160" s="8" t="s">
        <v>603</v>
      </c>
      <c r="J160" s="8" t="s">
        <v>608</v>
      </c>
      <c r="K160" s="24">
        <v>46099</v>
      </c>
      <c r="L160" s="24">
        <v>45916</v>
      </c>
      <c r="M160" s="24">
        <v>46050</v>
      </c>
      <c r="N160" s="8" t="s">
        <v>681</v>
      </c>
      <c r="O160" s="24">
        <v>55044</v>
      </c>
      <c r="P160" s="8" t="s">
        <v>1393</v>
      </c>
    </row>
    <row r="161" spans="1:16" x14ac:dyDescent="0.2">
      <c r="A161" s="8" t="s">
        <v>848</v>
      </c>
      <c r="B161" s="8" t="s">
        <v>849</v>
      </c>
      <c r="C161" s="8" t="s">
        <v>406</v>
      </c>
      <c r="D161" s="23">
        <v>5</v>
      </c>
      <c r="E161" s="8" t="s">
        <v>406</v>
      </c>
      <c r="F161" s="8" t="s">
        <v>850</v>
      </c>
      <c r="G161" s="8" t="s">
        <v>602</v>
      </c>
      <c r="H161" s="8" t="s">
        <v>1170</v>
      </c>
      <c r="I161" s="8" t="s">
        <v>603</v>
      </c>
      <c r="J161" s="8" t="s">
        <v>608</v>
      </c>
      <c r="K161" s="24">
        <v>46099</v>
      </c>
      <c r="L161" s="24">
        <v>45916</v>
      </c>
      <c r="M161" s="24">
        <v>46050</v>
      </c>
      <c r="N161" s="8" t="s">
        <v>681</v>
      </c>
      <c r="O161" s="24">
        <v>55044</v>
      </c>
      <c r="P161" s="8" t="s">
        <v>1394</v>
      </c>
    </row>
    <row r="162" spans="1:16" x14ac:dyDescent="0.2">
      <c r="A162" s="8" t="s">
        <v>851</v>
      </c>
      <c r="B162" s="8" t="s">
        <v>852</v>
      </c>
      <c r="C162" s="8" t="s">
        <v>407</v>
      </c>
      <c r="D162" s="23">
        <v>5</v>
      </c>
      <c r="E162" s="8" t="s">
        <v>407</v>
      </c>
      <c r="F162" s="8" t="s">
        <v>853</v>
      </c>
      <c r="G162" s="8" t="s">
        <v>602</v>
      </c>
      <c r="H162" s="8" t="s">
        <v>1170</v>
      </c>
      <c r="I162" s="8" t="s">
        <v>603</v>
      </c>
      <c r="J162" s="8" t="s">
        <v>608</v>
      </c>
      <c r="K162" s="24">
        <v>46099</v>
      </c>
      <c r="L162" s="24">
        <v>45916</v>
      </c>
      <c r="M162" s="24">
        <v>46050</v>
      </c>
      <c r="N162" s="8" t="s">
        <v>681</v>
      </c>
      <c r="O162" s="24">
        <v>55044</v>
      </c>
      <c r="P162" s="8" t="s">
        <v>1394</v>
      </c>
    </row>
    <row r="163" spans="1:16" x14ac:dyDescent="0.2">
      <c r="A163" s="8" t="s">
        <v>854</v>
      </c>
      <c r="B163" s="8" t="s">
        <v>855</v>
      </c>
      <c r="C163" s="8" t="s">
        <v>408</v>
      </c>
      <c r="D163" s="23">
        <v>5</v>
      </c>
      <c r="E163" s="8" t="s">
        <v>408</v>
      </c>
      <c r="F163" s="8" t="s">
        <v>856</v>
      </c>
      <c r="G163" s="8" t="s">
        <v>602</v>
      </c>
      <c r="H163" s="8" t="s">
        <v>1170</v>
      </c>
      <c r="I163" s="8" t="s">
        <v>603</v>
      </c>
      <c r="J163" s="8" t="s">
        <v>608</v>
      </c>
      <c r="K163" s="24">
        <v>46099</v>
      </c>
      <c r="L163" s="24">
        <v>45916</v>
      </c>
      <c r="M163" s="24">
        <v>46050</v>
      </c>
      <c r="N163" s="8" t="s">
        <v>681</v>
      </c>
      <c r="O163" s="24">
        <v>55044</v>
      </c>
      <c r="P163" s="8" t="s">
        <v>1395</v>
      </c>
    </row>
    <row r="164" spans="1:16" x14ac:dyDescent="0.2">
      <c r="A164" s="8" t="s">
        <v>857</v>
      </c>
      <c r="B164" s="8" t="s">
        <v>858</v>
      </c>
      <c r="C164" s="8" t="s">
        <v>409</v>
      </c>
      <c r="D164" s="23">
        <v>5</v>
      </c>
      <c r="E164" s="8" t="s">
        <v>409</v>
      </c>
      <c r="F164" s="8" t="s">
        <v>859</v>
      </c>
      <c r="G164" s="8" t="s">
        <v>602</v>
      </c>
      <c r="H164" s="8" t="s">
        <v>1170</v>
      </c>
      <c r="I164" s="8" t="s">
        <v>603</v>
      </c>
      <c r="J164" s="8" t="s">
        <v>608</v>
      </c>
      <c r="K164" s="24">
        <v>46099</v>
      </c>
      <c r="L164" s="24">
        <v>45916</v>
      </c>
      <c r="M164" s="24">
        <v>46050</v>
      </c>
      <c r="N164" s="8" t="s">
        <v>681</v>
      </c>
      <c r="O164" s="24">
        <v>55044</v>
      </c>
      <c r="P164" s="8" t="s">
        <v>1365</v>
      </c>
    </row>
    <row r="165" spans="1:16" x14ac:dyDescent="0.2">
      <c r="A165" s="8" t="s">
        <v>863</v>
      </c>
      <c r="B165" s="8" t="s">
        <v>864</v>
      </c>
      <c r="C165" s="8" t="s">
        <v>411</v>
      </c>
      <c r="D165" s="23">
        <v>5</v>
      </c>
      <c r="E165" s="8" t="s">
        <v>411</v>
      </c>
      <c r="F165" s="8" t="s">
        <v>865</v>
      </c>
      <c r="G165" s="8" t="s">
        <v>602</v>
      </c>
      <c r="H165" s="8" t="s">
        <v>1170</v>
      </c>
      <c r="I165" s="8" t="s">
        <v>603</v>
      </c>
      <c r="J165" s="8" t="s">
        <v>608</v>
      </c>
      <c r="K165" s="24">
        <v>46099</v>
      </c>
      <c r="L165" s="24">
        <v>45916</v>
      </c>
      <c r="M165" s="24">
        <v>46050</v>
      </c>
      <c r="N165" s="8" t="s">
        <v>681</v>
      </c>
      <c r="O165" s="24">
        <v>55044</v>
      </c>
      <c r="P165" s="8" t="s">
        <v>1396</v>
      </c>
    </row>
    <row r="166" spans="1:16" x14ac:dyDescent="0.2">
      <c r="A166" s="8" t="s">
        <v>866</v>
      </c>
      <c r="B166" s="8" t="s">
        <v>867</v>
      </c>
      <c r="C166" s="8" t="s">
        <v>412</v>
      </c>
      <c r="D166" s="23">
        <v>5</v>
      </c>
      <c r="E166" s="8" t="s">
        <v>412</v>
      </c>
      <c r="F166" s="8" t="s">
        <v>868</v>
      </c>
      <c r="G166" s="8" t="s">
        <v>602</v>
      </c>
      <c r="H166" s="8" t="s">
        <v>1170</v>
      </c>
      <c r="I166" s="8" t="s">
        <v>603</v>
      </c>
      <c r="J166" s="8" t="s">
        <v>608</v>
      </c>
      <c r="K166" s="24">
        <v>46099</v>
      </c>
      <c r="L166" s="24">
        <v>45916</v>
      </c>
      <c r="M166" s="24">
        <v>46050</v>
      </c>
      <c r="N166" s="8" t="s">
        <v>681</v>
      </c>
      <c r="O166" s="24">
        <v>55044</v>
      </c>
      <c r="P166" s="8" t="s">
        <v>1365</v>
      </c>
    </row>
    <row r="167" spans="1:16" x14ac:dyDescent="0.2">
      <c r="A167" s="8" t="s">
        <v>869</v>
      </c>
      <c r="B167" s="8" t="s">
        <v>870</v>
      </c>
      <c r="C167" s="8" t="s">
        <v>413</v>
      </c>
      <c r="D167" s="23">
        <v>5</v>
      </c>
      <c r="E167" s="8" t="s">
        <v>413</v>
      </c>
      <c r="F167" s="8" t="s">
        <v>871</v>
      </c>
      <c r="G167" s="8" t="s">
        <v>602</v>
      </c>
      <c r="H167" s="8" t="s">
        <v>1170</v>
      </c>
      <c r="I167" s="8" t="s">
        <v>603</v>
      </c>
      <c r="J167" s="8" t="s">
        <v>608</v>
      </c>
      <c r="K167" s="24">
        <v>46099</v>
      </c>
      <c r="L167" s="24">
        <v>45916</v>
      </c>
      <c r="M167" s="24">
        <v>46050</v>
      </c>
      <c r="N167" s="8" t="s">
        <v>681</v>
      </c>
      <c r="O167" s="24">
        <v>55044</v>
      </c>
      <c r="P167" s="8" t="s">
        <v>1397</v>
      </c>
    </row>
    <row r="168" spans="1:16" x14ac:dyDescent="0.2">
      <c r="A168" s="8" t="s">
        <v>875</v>
      </c>
      <c r="B168" s="8" t="s">
        <v>876</v>
      </c>
      <c r="C168" s="8" t="s">
        <v>415</v>
      </c>
      <c r="D168" s="23">
        <v>5</v>
      </c>
      <c r="E168" s="8" t="s">
        <v>415</v>
      </c>
      <c r="F168" s="8" t="s">
        <v>877</v>
      </c>
      <c r="G168" s="8" t="s">
        <v>602</v>
      </c>
      <c r="H168" s="8" t="s">
        <v>1170</v>
      </c>
      <c r="I168" s="8" t="s">
        <v>603</v>
      </c>
      <c r="J168" s="8" t="s">
        <v>608</v>
      </c>
      <c r="K168" s="24">
        <v>46099</v>
      </c>
      <c r="L168" s="24">
        <v>45916</v>
      </c>
      <c r="M168" s="24">
        <v>46050</v>
      </c>
      <c r="N168" s="8" t="s">
        <v>681</v>
      </c>
      <c r="O168" s="24">
        <v>55044</v>
      </c>
      <c r="P168" s="8" t="s">
        <v>1398</v>
      </c>
    </row>
    <row r="169" spans="1:16" x14ac:dyDescent="0.2">
      <c r="A169" s="8" t="s">
        <v>878</v>
      </c>
      <c r="B169" s="8" t="s">
        <v>879</v>
      </c>
      <c r="C169" s="8" t="s">
        <v>416</v>
      </c>
      <c r="D169" s="23">
        <v>5</v>
      </c>
      <c r="E169" s="8" t="s">
        <v>416</v>
      </c>
      <c r="F169" s="8" t="s">
        <v>880</v>
      </c>
      <c r="G169" s="8" t="s">
        <v>602</v>
      </c>
      <c r="H169" s="8" t="s">
        <v>1170</v>
      </c>
      <c r="I169" s="8" t="s">
        <v>603</v>
      </c>
      <c r="J169" s="8" t="s">
        <v>608</v>
      </c>
      <c r="K169" s="24">
        <v>46099</v>
      </c>
      <c r="L169" s="24">
        <v>45916</v>
      </c>
      <c r="M169" s="24">
        <v>46050</v>
      </c>
      <c r="N169" s="8" t="s">
        <v>681</v>
      </c>
      <c r="O169" s="24">
        <v>55044</v>
      </c>
      <c r="P169" s="8" t="s">
        <v>1399</v>
      </c>
    </row>
    <row r="170" spans="1:16" x14ac:dyDescent="0.2">
      <c r="A170" s="8" t="s">
        <v>881</v>
      </c>
      <c r="B170" s="8" t="s">
        <v>882</v>
      </c>
      <c r="C170" s="8" t="s">
        <v>417</v>
      </c>
      <c r="D170" s="23">
        <v>5</v>
      </c>
      <c r="E170" s="8" t="s">
        <v>417</v>
      </c>
      <c r="F170" s="8" t="s">
        <v>883</v>
      </c>
      <c r="G170" s="8" t="s">
        <v>602</v>
      </c>
      <c r="H170" s="8" t="s">
        <v>1170</v>
      </c>
      <c r="I170" s="8" t="s">
        <v>603</v>
      </c>
      <c r="J170" s="8" t="s">
        <v>608</v>
      </c>
      <c r="K170" s="24">
        <v>46099</v>
      </c>
      <c r="L170" s="24">
        <v>45916</v>
      </c>
      <c r="M170" s="24">
        <v>46050</v>
      </c>
      <c r="N170" s="8" t="s">
        <v>681</v>
      </c>
      <c r="O170" s="24">
        <v>55044</v>
      </c>
      <c r="P170" s="8" t="s">
        <v>1400</v>
      </c>
    </row>
    <row r="171" spans="1:16" x14ac:dyDescent="0.2">
      <c r="A171" s="8" t="s">
        <v>884</v>
      </c>
      <c r="B171" s="8" t="s">
        <v>885</v>
      </c>
      <c r="C171" s="8" t="s">
        <v>418</v>
      </c>
      <c r="D171" s="23">
        <v>5</v>
      </c>
      <c r="E171" s="8" t="s">
        <v>418</v>
      </c>
      <c r="F171" s="8" t="s">
        <v>886</v>
      </c>
      <c r="G171" s="8" t="s">
        <v>602</v>
      </c>
      <c r="H171" s="8" t="s">
        <v>1170</v>
      </c>
      <c r="I171" s="8" t="s">
        <v>603</v>
      </c>
      <c r="J171" s="8" t="s">
        <v>608</v>
      </c>
      <c r="K171" s="24">
        <v>46099</v>
      </c>
      <c r="L171" s="24">
        <v>45916</v>
      </c>
      <c r="M171" s="24">
        <v>46050</v>
      </c>
      <c r="N171" s="8" t="s">
        <v>681</v>
      </c>
      <c r="O171" s="24">
        <v>55044</v>
      </c>
      <c r="P171" s="8" t="s">
        <v>1401</v>
      </c>
    </row>
    <row r="172" spans="1:16" x14ac:dyDescent="0.2">
      <c r="A172" s="8" t="s">
        <v>887</v>
      </c>
      <c r="B172" s="8" t="s">
        <v>888</v>
      </c>
      <c r="C172" s="8" t="s">
        <v>419</v>
      </c>
      <c r="D172" s="23">
        <v>5</v>
      </c>
      <c r="E172" s="8" t="s">
        <v>419</v>
      </c>
      <c r="F172" s="8" t="s">
        <v>889</v>
      </c>
      <c r="G172" s="8" t="s">
        <v>602</v>
      </c>
      <c r="H172" s="8" t="s">
        <v>1170</v>
      </c>
      <c r="I172" s="8" t="s">
        <v>603</v>
      </c>
      <c r="J172" s="8" t="s">
        <v>608</v>
      </c>
      <c r="K172" s="24">
        <v>46099</v>
      </c>
      <c r="L172" s="24">
        <v>45916</v>
      </c>
      <c r="M172" s="24">
        <v>46050</v>
      </c>
      <c r="N172" s="8" t="s">
        <v>681</v>
      </c>
      <c r="O172" s="24">
        <v>55044</v>
      </c>
      <c r="P172" s="8" t="s">
        <v>1402</v>
      </c>
    </row>
    <row r="173" spans="1:16" x14ac:dyDescent="0.2">
      <c r="A173" s="8" t="s">
        <v>890</v>
      </c>
      <c r="B173" s="8" t="s">
        <v>891</v>
      </c>
      <c r="C173" s="8" t="s">
        <v>420</v>
      </c>
      <c r="D173" s="23">
        <v>5</v>
      </c>
      <c r="E173" s="8" t="s">
        <v>420</v>
      </c>
      <c r="F173" s="8" t="s">
        <v>892</v>
      </c>
      <c r="G173" s="8" t="s">
        <v>602</v>
      </c>
      <c r="H173" s="8" t="s">
        <v>1170</v>
      </c>
      <c r="I173" s="8" t="s">
        <v>603</v>
      </c>
      <c r="J173" s="8" t="s">
        <v>608</v>
      </c>
      <c r="K173" s="24">
        <v>46099</v>
      </c>
      <c r="L173" s="24">
        <v>45916</v>
      </c>
      <c r="M173" s="24">
        <v>46050</v>
      </c>
      <c r="N173" s="8" t="s">
        <v>681</v>
      </c>
      <c r="O173" s="24">
        <v>55044</v>
      </c>
      <c r="P173" s="8" t="s">
        <v>1403</v>
      </c>
    </row>
    <row r="174" spans="1:16" x14ac:dyDescent="0.2">
      <c r="A174" s="8" t="s">
        <v>893</v>
      </c>
      <c r="B174" s="8" t="s">
        <v>894</v>
      </c>
      <c r="C174" s="8" t="s">
        <v>421</v>
      </c>
      <c r="D174" s="23">
        <v>5</v>
      </c>
      <c r="E174" s="8" t="s">
        <v>421</v>
      </c>
      <c r="F174" s="8" t="s">
        <v>895</v>
      </c>
      <c r="G174" s="8" t="s">
        <v>602</v>
      </c>
      <c r="H174" s="8" t="s">
        <v>1170</v>
      </c>
      <c r="I174" s="8" t="s">
        <v>603</v>
      </c>
      <c r="J174" s="8" t="s">
        <v>608</v>
      </c>
      <c r="K174" s="24">
        <v>46099</v>
      </c>
      <c r="L174" s="24">
        <v>45916</v>
      </c>
      <c r="M174" s="24">
        <v>46050</v>
      </c>
      <c r="N174" s="8" t="s">
        <v>681</v>
      </c>
      <c r="O174" s="24">
        <v>55044</v>
      </c>
      <c r="P174" s="8" t="s">
        <v>1404</v>
      </c>
    </row>
    <row r="175" spans="1:16" x14ac:dyDescent="0.2">
      <c r="A175" s="8" t="s">
        <v>1668</v>
      </c>
      <c r="B175" s="8" t="s">
        <v>1673</v>
      </c>
      <c r="C175" s="8" t="s">
        <v>1670</v>
      </c>
      <c r="D175" s="23">
        <v>5</v>
      </c>
      <c r="E175" s="8" t="s">
        <v>1670</v>
      </c>
      <c r="F175" s="8" t="s">
        <v>1674</v>
      </c>
      <c r="G175" s="8" t="s">
        <v>602</v>
      </c>
      <c r="H175" s="8" t="s">
        <v>734</v>
      </c>
      <c r="I175" s="8" t="s">
        <v>603</v>
      </c>
      <c r="J175" s="8" t="s">
        <v>608</v>
      </c>
      <c r="K175" s="24">
        <v>46108</v>
      </c>
      <c r="L175" s="24">
        <v>46101</v>
      </c>
      <c r="M175" s="24">
        <v>46107</v>
      </c>
      <c r="N175" s="8" t="s">
        <v>1523</v>
      </c>
      <c r="O175" s="24">
        <v>46266</v>
      </c>
      <c r="P175" s="8" t="s">
        <v>1524</v>
      </c>
    </row>
    <row r="176" spans="1:16" x14ac:dyDescent="0.2">
      <c r="A176" s="8" t="s">
        <v>1675</v>
      </c>
      <c r="B176" s="8" t="s">
        <v>1676</v>
      </c>
      <c r="C176" s="8" t="s">
        <v>1677</v>
      </c>
      <c r="D176" s="23">
        <v>5</v>
      </c>
      <c r="E176" s="8" t="s">
        <v>1678</v>
      </c>
      <c r="F176" s="8" t="s">
        <v>1679</v>
      </c>
      <c r="G176" s="8" t="s">
        <v>602</v>
      </c>
      <c r="H176" s="8" t="s">
        <v>1680</v>
      </c>
      <c r="I176" s="8" t="s">
        <v>603</v>
      </c>
      <c r="J176" s="8" t="s">
        <v>1560</v>
      </c>
      <c r="K176" s="24">
        <v>46108</v>
      </c>
      <c r="L176" s="24">
        <v>46108</v>
      </c>
      <c r="M176" s="24">
        <v>46108</v>
      </c>
      <c r="N176" s="8" t="s">
        <v>1569</v>
      </c>
      <c r="O176" s="24"/>
      <c r="P176" s="8"/>
    </row>
    <row r="177" spans="1:16" x14ac:dyDescent="0.2">
      <c r="A177" s="8" t="s">
        <v>1204</v>
      </c>
      <c r="B177" s="8" t="s">
        <v>1681</v>
      </c>
      <c r="C177" s="8" t="s">
        <v>3</v>
      </c>
      <c r="D177" s="23">
        <v>6</v>
      </c>
      <c r="E177" s="8" t="s">
        <v>1205</v>
      </c>
      <c r="F177" s="8" t="s">
        <v>1682</v>
      </c>
      <c r="G177" s="8" t="s">
        <v>602</v>
      </c>
      <c r="H177" s="8" t="s">
        <v>616</v>
      </c>
      <c r="I177" s="8" t="s">
        <v>603</v>
      </c>
      <c r="J177" s="8" t="s">
        <v>608</v>
      </c>
      <c r="K177" s="24">
        <v>46107</v>
      </c>
      <c r="L177" s="24">
        <v>46101</v>
      </c>
      <c r="M177" s="24">
        <v>46107</v>
      </c>
      <c r="N177" s="8" t="s">
        <v>1523</v>
      </c>
      <c r="O177" s="24">
        <v>46266</v>
      </c>
      <c r="P177" s="8" t="s">
        <v>1524</v>
      </c>
    </row>
    <row r="178" spans="1:16" x14ac:dyDescent="0.2">
      <c r="A178" s="8" t="s">
        <v>1106</v>
      </c>
      <c r="B178" s="8" t="s">
        <v>1509</v>
      </c>
      <c r="C178" s="8" t="s">
        <v>474</v>
      </c>
      <c r="D178" s="23">
        <v>6</v>
      </c>
      <c r="E178" s="8" t="s">
        <v>1107</v>
      </c>
      <c r="F178" s="8" t="s">
        <v>1683</v>
      </c>
      <c r="G178" s="8" t="s">
        <v>602</v>
      </c>
      <c r="H178" s="8" t="s">
        <v>632</v>
      </c>
      <c r="I178" s="8" t="s">
        <v>603</v>
      </c>
      <c r="J178" s="8" t="s">
        <v>608</v>
      </c>
      <c r="K178" s="24">
        <v>46111</v>
      </c>
      <c r="L178" s="24">
        <v>46083</v>
      </c>
      <c r="M178" s="24">
        <v>46085</v>
      </c>
      <c r="N178" s="8"/>
      <c r="O178" s="24"/>
      <c r="P178" s="8"/>
    </row>
    <row r="179" spans="1:16" x14ac:dyDescent="0.2">
      <c r="A179" s="8" t="s">
        <v>1190</v>
      </c>
      <c r="B179" s="8" t="s">
        <v>1509</v>
      </c>
      <c r="C179" s="8" t="s">
        <v>1135</v>
      </c>
      <c r="D179" s="23">
        <v>6</v>
      </c>
      <c r="E179" s="8" t="s">
        <v>1191</v>
      </c>
      <c r="F179" s="8" t="s">
        <v>1684</v>
      </c>
      <c r="G179" s="8" t="s">
        <v>602</v>
      </c>
      <c r="H179" s="8" t="s">
        <v>632</v>
      </c>
      <c r="I179" s="8" t="s">
        <v>603</v>
      </c>
      <c r="J179" s="8" t="s">
        <v>608</v>
      </c>
      <c r="K179" s="24">
        <v>46111</v>
      </c>
      <c r="L179" s="24">
        <v>46083</v>
      </c>
      <c r="M179" s="24">
        <v>46085</v>
      </c>
      <c r="N179" s="8"/>
      <c r="O179" s="24"/>
      <c r="P179" s="8"/>
    </row>
    <row r="180" spans="1:16" x14ac:dyDescent="0.2">
      <c r="A180" s="8" t="s">
        <v>1032</v>
      </c>
      <c r="B180" s="8" t="s">
        <v>617</v>
      </c>
      <c r="C180" s="8" t="s">
        <v>459</v>
      </c>
      <c r="D180" s="23">
        <v>6</v>
      </c>
      <c r="E180" s="8" t="s">
        <v>459</v>
      </c>
      <c r="F180" s="8" t="s">
        <v>1078</v>
      </c>
      <c r="G180" s="8" t="s">
        <v>602</v>
      </c>
      <c r="H180" s="8" t="s">
        <v>1031</v>
      </c>
      <c r="I180" s="8" t="s">
        <v>603</v>
      </c>
      <c r="J180" s="8" t="s">
        <v>608</v>
      </c>
      <c r="K180" s="24">
        <v>46108</v>
      </c>
      <c r="L180" s="24">
        <v>45847</v>
      </c>
      <c r="M180" s="24">
        <v>46002</v>
      </c>
      <c r="N180" s="8" t="s">
        <v>618</v>
      </c>
      <c r="O180" s="24"/>
      <c r="P180" s="8"/>
    </row>
    <row r="181" spans="1:16" x14ac:dyDescent="0.2">
      <c r="A181" s="8" t="s">
        <v>926</v>
      </c>
      <c r="B181" s="8" t="s">
        <v>1235</v>
      </c>
      <c r="C181" s="8" t="s">
        <v>428</v>
      </c>
      <c r="D181" s="23">
        <v>6</v>
      </c>
      <c r="E181" s="8" t="s">
        <v>428</v>
      </c>
      <c r="F181" s="8" t="s">
        <v>1236</v>
      </c>
      <c r="G181" s="8" t="s">
        <v>602</v>
      </c>
      <c r="H181" s="8" t="s">
        <v>1026</v>
      </c>
      <c r="I181" s="8" t="s">
        <v>603</v>
      </c>
      <c r="J181" s="8" t="s">
        <v>608</v>
      </c>
      <c r="K181" s="24">
        <v>46093</v>
      </c>
      <c r="L181" s="24">
        <v>46050</v>
      </c>
      <c r="M181" s="24">
        <v>46092</v>
      </c>
      <c r="N181" s="8" t="s">
        <v>1224</v>
      </c>
      <c r="O181" s="24"/>
      <c r="P181" s="8"/>
    </row>
    <row r="182" spans="1:16" x14ac:dyDescent="0.2">
      <c r="A182" s="8" t="s">
        <v>824</v>
      </c>
      <c r="B182" s="8" t="s">
        <v>1408</v>
      </c>
      <c r="C182" s="8" t="s">
        <v>422</v>
      </c>
      <c r="D182" s="23">
        <v>6</v>
      </c>
      <c r="E182" s="8" t="s">
        <v>422</v>
      </c>
      <c r="F182" s="8" t="s">
        <v>1409</v>
      </c>
      <c r="G182" s="8" t="s">
        <v>602</v>
      </c>
      <c r="H182" s="8" t="s">
        <v>1112</v>
      </c>
      <c r="I182" s="8" t="s">
        <v>603</v>
      </c>
      <c r="J182" s="8" t="s">
        <v>608</v>
      </c>
      <c r="K182" s="24">
        <v>46086</v>
      </c>
      <c r="L182" s="24">
        <v>46066</v>
      </c>
      <c r="M182" s="24">
        <v>46086</v>
      </c>
      <c r="N182" s="8" t="s">
        <v>1351</v>
      </c>
      <c r="O182" s="24">
        <v>46266</v>
      </c>
      <c r="P182" s="8" t="s">
        <v>1352</v>
      </c>
    </row>
    <row r="183" spans="1:16" x14ac:dyDescent="0.2">
      <c r="A183" s="8" t="s">
        <v>934</v>
      </c>
      <c r="B183" s="8" t="s">
        <v>920</v>
      </c>
      <c r="C183" s="8" t="s">
        <v>432</v>
      </c>
      <c r="D183" s="23">
        <v>6</v>
      </c>
      <c r="E183" s="8" t="s">
        <v>432</v>
      </c>
      <c r="F183" s="8" t="s">
        <v>935</v>
      </c>
      <c r="G183" s="8" t="s">
        <v>602</v>
      </c>
      <c r="H183" s="8" t="s">
        <v>1112</v>
      </c>
      <c r="I183" s="8" t="s">
        <v>603</v>
      </c>
      <c r="J183" s="8" t="s">
        <v>608</v>
      </c>
      <c r="K183" s="24">
        <v>46086</v>
      </c>
      <c r="L183" s="24">
        <v>45916</v>
      </c>
      <c r="M183" s="24">
        <v>46050</v>
      </c>
      <c r="N183" s="8"/>
      <c r="O183" s="24"/>
      <c r="P183" s="8"/>
    </row>
    <row r="184" spans="1:16" x14ac:dyDescent="0.2">
      <c r="A184" s="8" t="s">
        <v>1259</v>
      </c>
      <c r="B184" s="8" t="s">
        <v>785</v>
      </c>
      <c r="C184" s="8" t="s">
        <v>1137</v>
      </c>
      <c r="D184" s="23">
        <v>6</v>
      </c>
      <c r="E184" s="8" t="s">
        <v>1137</v>
      </c>
      <c r="F184" s="8" t="s">
        <v>1414</v>
      </c>
      <c r="G184" s="8" t="s">
        <v>602</v>
      </c>
      <c r="H184" s="8" t="s">
        <v>1170</v>
      </c>
      <c r="I184" s="8" t="s">
        <v>603</v>
      </c>
      <c r="J184" s="8" t="s">
        <v>608</v>
      </c>
      <c r="K184" s="24">
        <v>46099</v>
      </c>
      <c r="L184" s="24">
        <v>46079</v>
      </c>
      <c r="M184" s="24">
        <v>46079</v>
      </c>
      <c r="N184" s="8"/>
      <c r="O184" s="24"/>
      <c r="P184" s="8"/>
    </row>
    <row r="185" spans="1:16" x14ac:dyDescent="0.2">
      <c r="A185" s="8" t="s">
        <v>1685</v>
      </c>
      <c r="B185" s="8" t="s">
        <v>1456</v>
      </c>
      <c r="C185" s="8" t="s">
        <v>1686</v>
      </c>
      <c r="D185" s="23">
        <v>6</v>
      </c>
      <c r="E185" s="8" t="s">
        <v>1686</v>
      </c>
      <c r="F185" s="8" t="s">
        <v>1687</v>
      </c>
      <c r="G185" s="8" t="s">
        <v>602</v>
      </c>
      <c r="H185" s="8" t="s">
        <v>734</v>
      </c>
      <c r="I185" s="8" t="s">
        <v>603</v>
      </c>
      <c r="J185" s="8" t="s">
        <v>608</v>
      </c>
      <c r="K185" s="24">
        <v>46108</v>
      </c>
      <c r="L185" s="24">
        <v>46083</v>
      </c>
      <c r="M185" s="24">
        <v>46085</v>
      </c>
      <c r="N185" s="8"/>
      <c r="O185" s="24"/>
      <c r="P185" s="8"/>
    </row>
    <row r="186" spans="1:16" x14ac:dyDescent="0.2">
      <c r="A186" s="8" t="s">
        <v>798</v>
      </c>
      <c r="B186" s="8" t="s">
        <v>1340</v>
      </c>
      <c r="C186" s="8" t="s">
        <v>70</v>
      </c>
      <c r="D186" s="23">
        <v>7</v>
      </c>
      <c r="E186" s="8" t="s">
        <v>799</v>
      </c>
      <c r="F186" s="8" t="s">
        <v>1415</v>
      </c>
      <c r="G186" s="8" t="s">
        <v>602</v>
      </c>
      <c r="H186" s="8" t="s">
        <v>902</v>
      </c>
      <c r="I186" s="8" t="s">
        <v>603</v>
      </c>
      <c r="J186" s="8" t="s">
        <v>608</v>
      </c>
      <c r="K186" s="24">
        <v>46098</v>
      </c>
      <c r="L186" s="24">
        <v>46070</v>
      </c>
      <c r="M186" s="24">
        <v>46076</v>
      </c>
      <c r="N186" s="8"/>
      <c r="O186" s="24"/>
      <c r="P186" s="8"/>
    </row>
    <row r="187" spans="1:16" x14ac:dyDescent="0.2">
      <c r="A187" s="8" t="s">
        <v>913</v>
      </c>
      <c r="B187" s="8" t="s">
        <v>914</v>
      </c>
      <c r="C187" s="8" t="s">
        <v>423</v>
      </c>
      <c r="D187" s="23">
        <v>7</v>
      </c>
      <c r="E187" s="8" t="s">
        <v>423</v>
      </c>
      <c r="F187" s="8" t="s">
        <v>915</v>
      </c>
      <c r="G187" s="8" t="s">
        <v>602</v>
      </c>
      <c r="H187" s="8" t="s">
        <v>670</v>
      </c>
      <c r="I187" s="8" t="s">
        <v>603</v>
      </c>
      <c r="J187" s="8" t="s">
        <v>608</v>
      </c>
      <c r="K187" s="24">
        <v>46107</v>
      </c>
      <c r="L187" s="24">
        <v>45916</v>
      </c>
      <c r="M187" s="24">
        <v>46050</v>
      </c>
      <c r="N187" s="8" t="s">
        <v>681</v>
      </c>
      <c r="O187" s="24">
        <v>55044</v>
      </c>
      <c r="P187" s="8" t="s">
        <v>1356</v>
      </c>
    </row>
    <row r="188" spans="1:16" x14ac:dyDescent="0.2">
      <c r="A188" s="8" t="s">
        <v>1218</v>
      </c>
      <c r="B188" s="8" t="s">
        <v>1219</v>
      </c>
      <c r="C188" s="8" t="s">
        <v>1154</v>
      </c>
      <c r="D188" s="23">
        <v>7</v>
      </c>
      <c r="E188" s="8" t="s">
        <v>1154</v>
      </c>
      <c r="F188" s="8" t="s">
        <v>1220</v>
      </c>
      <c r="G188" s="8" t="s">
        <v>602</v>
      </c>
      <c r="H188" s="8" t="s">
        <v>1027</v>
      </c>
      <c r="I188" s="8" t="s">
        <v>603</v>
      </c>
      <c r="J188" s="8" t="s">
        <v>608</v>
      </c>
      <c r="K188" s="24">
        <v>46100</v>
      </c>
      <c r="L188" s="24">
        <v>46051</v>
      </c>
      <c r="M188" s="24">
        <v>46052</v>
      </c>
      <c r="N188" s="8" t="s">
        <v>1221</v>
      </c>
      <c r="O188" s="24">
        <v>54961</v>
      </c>
      <c r="P188" s="8" t="s">
        <v>1416</v>
      </c>
    </row>
    <row r="189" spans="1:16" x14ac:dyDescent="0.2">
      <c r="A189" s="8" t="s">
        <v>1190</v>
      </c>
      <c r="B189" s="8" t="s">
        <v>1417</v>
      </c>
      <c r="C189" s="8" t="s">
        <v>1135</v>
      </c>
      <c r="D189" s="23">
        <v>7</v>
      </c>
      <c r="E189" s="8" t="s">
        <v>1191</v>
      </c>
      <c r="F189" s="8" t="s">
        <v>1418</v>
      </c>
      <c r="G189" s="8" t="s">
        <v>602</v>
      </c>
      <c r="H189" s="8" t="s">
        <v>1170</v>
      </c>
      <c r="I189" s="8" t="s">
        <v>603</v>
      </c>
      <c r="J189" s="8" t="s">
        <v>608</v>
      </c>
      <c r="K189" s="24">
        <v>46099</v>
      </c>
      <c r="L189" s="24">
        <v>46073</v>
      </c>
      <c r="M189" s="24">
        <v>46079</v>
      </c>
      <c r="N189" s="8" t="s">
        <v>1300</v>
      </c>
      <c r="O189" s="24">
        <v>58805</v>
      </c>
      <c r="P189" s="8" t="s">
        <v>1298</v>
      </c>
    </row>
    <row r="190" spans="1:16" x14ac:dyDescent="0.2">
      <c r="A190" s="8" t="s">
        <v>905</v>
      </c>
      <c r="B190" s="8" t="s">
        <v>617</v>
      </c>
      <c r="C190" s="8" t="s">
        <v>77</v>
      </c>
      <c r="D190" s="23">
        <v>7</v>
      </c>
      <c r="E190" s="8" t="s">
        <v>906</v>
      </c>
      <c r="F190" s="8" t="s">
        <v>907</v>
      </c>
      <c r="G190" s="8" t="s">
        <v>602</v>
      </c>
      <c r="H190" s="8" t="s">
        <v>908</v>
      </c>
      <c r="I190" s="8" t="s">
        <v>603</v>
      </c>
      <c r="J190" s="8" t="s">
        <v>608</v>
      </c>
      <c r="K190" s="24">
        <v>46052</v>
      </c>
      <c r="L190" s="24">
        <v>45467</v>
      </c>
      <c r="M190" s="24">
        <v>45671</v>
      </c>
      <c r="N190" s="8" t="s">
        <v>909</v>
      </c>
      <c r="O190" s="24"/>
      <c r="P190" s="8"/>
    </row>
    <row r="191" spans="1:16" x14ac:dyDescent="0.2">
      <c r="A191" s="8" t="s">
        <v>1688</v>
      </c>
      <c r="B191" s="8" t="s">
        <v>1689</v>
      </c>
      <c r="C191" s="8" t="s">
        <v>1141</v>
      </c>
      <c r="D191" s="23">
        <v>7</v>
      </c>
      <c r="E191" s="8" t="s">
        <v>1141</v>
      </c>
      <c r="F191" s="8" t="s">
        <v>1690</v>
      </c>
      <c r="G191" s="8" t="s">
        <v>602</v>
      </c>
      <c r="H191" s="8" t="s">
        <v>720</v>
      </c>
      <c r="I191" s="8" t="s">
        <v>603</v>
      </c>
      <c r="J191" s="8" t="s">
        <v>608</v>
      </c>
      <c r="K191" s="24">
        <v>46107</v>
      </c>
      <c r="L191" s="24">
        <v>46101</v>
      </c>
      <c r="M191" s="24">
        <v>46107</v>
      </c>
      <c r="N191" s="8" t="s">
        <v>1523</v>
      </c>
      <c r="O191" s="24"/>
      <c r="P191" s="8"/>
    </row>
    <row r="192" spans="1:16" x14ac:dyDescent="0.2">
      <c r="A192" s="8" t="s">
        <v>916</v>
      </c>
      <c r="B192" s="8" t="s">
        <v>1419</v>
      </c>
      <c r="C192" s="8" t="s">
        <v>424</v>
      </c>
      <c r="D192" s="23">
        <v>8</v>
      </c>
      <c r="E192" s="8" t="s">
        <v>424</v>
      </c>
      <c r="F192" s="8" t="s">
        <v>1420</v>
      </c>
      <c r="G192" s="8" t="s">
        <v>602</v>
      </c>
      <c r="H192" s="8" t="s">
        <v>613</v>
      </c>
      <c r="I192" s="8" t="s">
        <v>603</v>
      </c>
      <c r="J192" s="8" t="s">
        <v>608</v>
      </c>
      <c r="K192" s="24">
        <v>46086</v>
      </c>
      <c r="L192" s="24">
        <v>46066</v>
      </c>
      <c r="M192" s="24">
        <v>46066</v>
      </c>
      <c r="N192" s="8" t="s">
        <v>1351</v>
      </c>
      <c r="O192" s="24">
        <v>46266</v>
      </c>
      <c r="P192" s="8" t="s">
        <v>1352</v>
      </c>
    </row>
    <row r="193" spans="1:16" x14ac:dyDescent="0.2">
      <c r="A193" s="8" t="s">
        <v>932</v>
      </c>
      <c r="B193" s="8" t="s">
        <v>1237</v>
      </c>
      <c r="C193" s="8" t="s">
        <v>431</v>
      </c>
      <c r="D193" s="23">
        <v>8</v>
      </c>
      <c r="E193" s="8" t="s">
        <v>431</v>
      </c>
      <c r="F193" s="8" t="s">
        <v>1238</v>
      </c>
      <c r="G193" s="8" t="s">
        <v>602</v>
      </c>
      <c r="H193" s="8" t="s">
        <v>1026</v>
      </c>
      <c r="I193" s="8" t="s">
        <v>603</v>
      </c>
      <c r="J193" s="8" t="s">
        <v>608</v>
      </c>
      <c r="K193" s="24">
        <v>46093</v>
      </c>
      <c r="L193" s="24">
        <v>46050</v>
      </c>
      <c r="M193" s="24">
        <v>46092</v>
      </c>
      <c r="N193" s="8" t="s">
        <v>1224</v>
      </c>
      <c r="O193" s="24"/>
      <c r="P193" s="8"/>
    </row>
    <row r="194" spans="1:16" x14ac:dyDescent="0.2">
      <c r="A194" s="8" t="s">
        <v>919</v>
      </c>
      <c r="B194" s="8" t="s">
        <v>1222</v>
      </c>
      <c r="C194" s="8" t="s">
        <v>425</v>
      </c>
      <c r="D194" s="23">
        <v>8</v>
      </c>
      <c r="E194" s="8" t="s">
        <v>425</v>
      </c>
      <c r="F194" s="8" t="s">
        <v>1223</v>
      </c>
      <c r="G194" s="8" t="s">
        <v>602</v>
      </c>
      <c r="H194" s="8" t="s">
        <v>1112</v>
      </c>
      <c r="I194" s="8" t="s">
        <v>603</v>
      </c>
      <c r="J194" s="8" t="s">
        <v>608</v>
      </c>
      <c r="K194" s="24">
        <v>46086</v>
      </c>
      <c r="L194" s="24">
        <v>46050</v>
      </c>
      <c r="M194" s="24">
        <v>46086</v>
      </c>
      <c r="N194" s="8" t="s">
        <v>1224</v>
      </c>
      <c r="O194" s="24"/>
      <c r="P194" s="8"/>
    </row>
    <row r="195" spans="1:16" x14ac:dyDescent="0.2">
      <c r="A195" s="8" t="s">
        <v>919</v>
      </c>
      <c r="B195" s="8" t="s">
        <v>920</v>
      </c>
      <c r="C195" s="8" t="s">
        <v>425</v>
      </c>
      <c r="D195" s="23">
        <v>8</v>
      </c>
      <c r="E195" s="8" t="s">
        <v>425</v>
      </c>
      <c r="F195" s="8" t="s">
        <v>921</v>
      </c>
      <c r="G195" s="8" t="s">
        <v>602</v>
      </c>
      <c r="H195" s="8" t="s">
        <v>1112</v>
      </c>
      <c r="I195" s="8" t="s">
        <v>603</v>
      </c>
      <c r="J195" s="8" t="s">
        <v>608</v>
      </c>
      <c r="K195" s="24">
        <v>46086</v>
      </c>
      <c r="L195" s="24">
        <v>45916</v>
      </c>
      <c r="M195" s="24">
        <v>46050</v>
      </c>
      <c r="N195" s="8"/>
      <c r="O195" s="24"/>
      <c r="P195" s="8"/>
    </row>
    <row r="196" spans="1:16" x14ac:dyDescent="0.2">
      <c r="A196" s="8" t="s">
        <v>922</v>
      </c>
      <c r="B196" s="8" t="s">
        <v>1225</v>
      </c>
      <c r="C196" s="8" t="s">
        <v>426</v>
      </c>
      <c r="D196" s="23">
        <v>8</v>
      </c>
      <c r="E196" s="8" t="s">
        <v>426</v>
      </c>
      <c r="F196" s="8" t="s">
        <v>1226</v>
      </c>
      <c r="G196" s="8" t="s">
        <v>602</v>
      </c>
      <c r="H196" s="8" t="s">
        <v>1112</v>
      </c>
      <c r="I196" s="8" t="s">
        <v>603</v>
      </c>
      <c r="J196" s="8" t="s">
        <v>608</v>
      </c>
      <c r="K196" s="24">
        <v>46086</v>
      </c>
      <c r="L196" s="24">
        <v>46050</v>
      </c>
      <c r="M196" s="24">
        <v>46086</v>
      </c>
      <c r="N196" s="8" t="s">
        <v>1224</v>
      </c>
      <c r="O196" s="24"/>
      <c r="P196" s="8"/>
    </row>
    <row r="197" spans="1:16" x14ac:dyDescent="0.2">
      <c r="A197" s="8" t="s">
        <v>922</v>
      </c>
      <c r="B197" s="8" t="s">
        <v>920</v>
      </c>
      <c r="C197" s="8" t="s">
        <v>426</v>
      </c>
      <c r="D197" s="23">
        <v>8</v>
      </c>
      <c r="E197" s="8" t="s">
        <v>426</v>
      </c>
      <c r="F197" s="8" t="s">
        <v>923</v>
      </c>
      <c r="G197" s="8" t="s">
        <v>602</v>
      </c>
      <c r="H197" s="8" t="s">
        <v>1112</v>
      </c>
      <c r="I197" s="8" t="s">
        <v>603</v>
      </c>
      <c r="J197" s="8" t="s">
        <v>608</v>
      </c>
      <c r="K197" s="24">
        <v>46086</v>
      </c>
      <c r="L197" s="24">
        <v>45916</v>
      </c>
      <c r="M197" s="24">
        <v>46050</v>
      </c>
      <c r="N197" s="8"/>
      <c r="O197" s="24"/>
      <c r="P197" s="8"/>
    </row>
    <row r="198" spans="1:16" x14ac:dyDescent="0.2">
      <c r="A198" s="8" t="s">
        <v>924</v>
      </c>
      <c r="B198" s="8" t="s">
        <v>1227</v>
      </c>
      <c r="C198" s="8" t="s">
        <v>427</v>
      </c>
      <c r="D198" s="23">
        <v>8</v>
      </c>
      <c r="E198" s="8" t="s">
        <v>427</v>
      </c>
      <c r="F198" s="8" t="s">
        <v>1228</v>
      </c>
      <c r="G198" s="8" t="s">
        <v>602</v>
      </c>
      <c r="H198" s="8" t="s">
        <v>1112</v>
      </c>
      <c r="I198" s="8" t="s">
        <v>603</v>
      </c>
      <c r="J198" s="8" t="s">
        <v>608</v>
      </c>
      <c r="K198" s="24">
        <v>46086</v>
      </c>
      <c r="L198" s="24">
        <v>46050</v>
      </c>
      <c r="M198" s="24">
        <v>46086</v>
      </c>
      <c r="N198" s="8" t="s">
        <v>1224</v>
      </c>
      <c r="O198" s="24"/>
      <c r="P198" s="8"/>
    </row>
    <row r="199" spans="1:16" x14ac:dyDescent="0.2">
      <c r="A199" s="8" t="s">
        <v>924</v>
      </c>
      <c r="B199" s="8" t="s">
        <v>920</v>
      </c>
      <c r="C199" s="8" t="s">
        <v>427</v>
      </c>
      <c r="D199" s="23">
        <v>8</v>
      </c>
      <c r="E199" s="8" t="s">
        <v>427</v>
      </c>
      <c r="F199" s="8" t="s">
        <v>925</v>
      </c>
      <c r="G199" s="8" t="s">
        <v>602</v>
      </c>
      <c r="H199" s="8" t="s">
        <v>1112</v>
      </c>
      <c r="I199" s="8" t="s">
        <v>603</v>
      </c>
      <c r="J199" s="8" t="s">
        <v>608</v>
      </c>
      <c r="K199" s="24">
        <v>46086</v>
      </c>
      <c r="L199" s="24">
        <v>45916</v>
      </c>
      <c r="M199" s="24">
        <v>46050</v>
      </c>
      <c r="N199" s="8"/>
      <c r="O199" s="24"/>
      <c r="P199" s="8"/>
    </row>
    <row r="200" spans="1:16" x14ac:dyDescent="0.2">
      <c r="A200" s="8" t="s">
        <v>926</v>
      </c>
      <c r="B200" s="8" t="s">
        <v>920</v>
      </c>
      <c r="C200" s="8" t="s">
        <v>428</v>
      </c>
      <c r="D200" s="23">
        <v>8</v>
      </c>
      <c r="E200" s="8" t="s">
        <v>428</v>
      </c>
      <c r="F200" s="8" t="s">
        <v>927</v>
      </c>
      <c r="G200" s="8" t="s">
        <v>602</v>
      </c>
      <c r="H200" s="8" t="s">
        <v>1112</v>
      </c>
      <c r="I200" s="8" t="s">
        <v>603</v>
      </c>
      <c r="J200" s="8" t="s">
        <v>608</v>
      </c>
      <c r="K200" s="24">
        <v>46086</v>
      </c>
      <c r="L200" s="24">
        <v>45916</v>
      </c>
      <c r="M200" s="24">
        <v>46050</v>
      </c>
      <c r="N200" s="8"/>
      <c r="O200" s="24"/>
      <c r="P200" s="8"/>
    </row>
    <row r="201" spans="1:16" x14ac:dyDescent="0.2">
      <c r="A201" s="8" t="s">
        <v>928</v>
      </c>
      <c r="B201" s="8" t="s">
        <v>1229</v>
      </c>
      <c r="C201" s="8" t="s">
        <v>429</v>
      </c>
      <c r="D201" s="23">
        <v>8</v>
      </c>
      <c r="E201" s="8" t="s">
        <v>429</v>
      </c>
      <c r="F201" s="8" t="s">
        <v>1230</v>
      </c>
      <c r="G201" s="8" t="s">
        <v>602</v>
      </c>
      <c r="H201" s="8" t="s">
        <v>1112</v>
      </c>
      <c r="I201" s="8" t="s">
        <v>603</v>
      </c>
      <c r="J201" s="8" t="s">
        <v>608</v>
      </c>
      <c r="K201" s="24">
        <v>46086</v>
      </c>
      <c r="L201" s="24">
        <v>46050</v>
      </c>
      <c r="M201" s="24">
        <v>46086</v>
      </c>
      <c r="N201" s="8" t="s">
        <v>1224</v>
      </c>
      <c r="O201" s="24"/>
      <c r="P201" s="8"/>
    </row>
    <row r="202" spans="1:16" x14ac:dyDescent="0.2">
      <c r="A202" s="8" t="s">
        <v>928</v>
      </c>
      <c r="B202" s="8" t="s">
        <v>920</v>
      </c>
      <c r="C202" s="8" t="s">
        <v>429</v>
      </c>
      <c r="D202" s="23">
        <v>8</v>
      </c>
      <c r="E202" s="8" t="s">
        <v>429</v>
      </c>
      <c r="F202" s="8" t="s">
        <v>929</v>
      </c>
      <c r="G202" s="8" t="s">
        <v>602</v>
      </c>
      <c r="H202" s="8" t="s">
        <v>1112</v>
      </c>
      <c r="I202" s="8" t="s">
        <v>603</v>
      </c>
      <c r="J202" s="8" t="s">
        <v>608</v>
      </c>
      <c r="K202" s="24">
        <v>46086</v>
      </c>
      <c r="L202" s="24">
        <v>45916</v>
      </c>
      <c r="M202" s="24">
        <v>46050</v>
      </c>
      <c r="N202" s="8"/>
      <c r="O202" s="24"/>
      <c r="P202" s="8"/>
    </row>
    <row r="203" spans="1:16" x14ac:dyDescent="0.2">
      <c r="A203" s="8" t="s">
        <v>930</v>
      </c>
      <c r="B203" s="8" t="s">
        <v>1231</v>
      </c>
      <c r="C203" s="8" t="s">
        <v>430</v>
      </c>
      <c r="D203" s="23">
        <v>8</v>
      </c>
      <c r="E203" s="8" t="s">
        <v>430</v>
      </c>
      <c r="F203" s="8" t="s">
        <v>1232</v>
      </c>
      <c r="G203" s="8" t="s">
        <v>602</v>
      </c>
      <c r="H203" s="8" t="s">
        <v>1112</v>
      </c>
      <c r="I203" s="8" t="s">
        <v>603</v>
      </c>
      <c r="J203" s="8" t="s">
        <v>608</v>
      </c>
      <c r="K203" s="24">
        <v>46086</v>
      </c>
      <c r="L203" s="24">
        <v>46050</v>
      </c>
      <c r="M203" s="24">
        <v>46086</v>
      </c>
      <c r="N203" s="8" t="s">
        <v>1224</v>
      </c>
      <c r="O203" s="24"/>
      <c r="P203" s="8"/>
    </row>
    <row r="204" spans="1:16" x14ac:dyDescent="0.2">
      <c r="A204" s="8" t="s">
        <v>930</v>
      </c>
      <c r="B204" s="8" t="s">
        <v>920</v>
      </c>
      <c r="C204" s="8" t="s">
        <v>430</v>
      </c>
      <c r="D204" s="23">
        <v>8</v>
      </c>
      <c r="E204" s="8" t="s">
        <v>430</v>
      </c>
      <c r="F204" s="8" t="s">
        <v>931</v>
      </c>
      <c r="G204" s="8" t="s">
        <v>602</v>
      </c>
      <c r="H204" s="8" t="s">
        <v>1112</v>
      </c>
      <c r="I204" s="8" t="s">
        <v>603</v>
      </c>
      <c r="J204" s="8" t="s">
        <v>608</v>
      </c>
      <c r="K204" s="24">
        <v>46086</v>
      </c>
      <c r="L204" s="24">
        <v>45916</v>
      </c>
      <c r="M204" s="24">
        <v>46050</v>
      </c>
      <c r="N204" s="8"/>
      <c r="O204" s="24"/>
      <c r="P204" s="8"/>
    </row>
    <row r="205" spans="1:16" x14ac:dyDescent="0.2">
      <c r="A205" s="8" t="s">
        <v>932</v>
      </c>
      <c r="B205" s="8" t="s">
        <v>920</v>
      </c>
      <c r="C205" s="8" t="s">
        <v>431</v>
      </c>
      <c r="D205" s="23">
        <v>8</v>
      </c>
      <c r="E205" s="8" t="s">
        <v>431</v>
      </c>
      <c r="F205" s="8" t="s">
        <v>933</v>
      </c>
      <c r="G205" s="8" t="s">
        <v>602</v>
      </c>
      <c r="H205" s="8" t="s">
        <v>1112</v>
      </c>
      <c r="I205" s="8" t="s">
        <v>603</v>
      </c>
      <c r="J205" s="8" t="s">
        <v>608</v>
      </c>
      <c r="K205" s="24">
        <v>46086</v>
      </c>
      <c r="L205" s="24">
        <v>45916</v>
      </c>
      <c r="M205" s="24">
        <v>46050</v>
      </c>
      <c r="N205" s="8"/>
      <c r="O205" s="24"/>
      <c r="P205" s="8"/>
    </row>
    <row r="206" spans="1:16" x14ac:dyDescent="0.2">
      <c r="A206" s="8" t="s">
        <v>934</v>
      </c>
      <c r="B206" s="8" t="s">
        <v>1233</v>
      </c>
      <c r="C206" s="8" t="s">
        <v>432</v>
      </c>
      <c r="D206" s="23">
        <v>8</v>
      </c>
      <c r="E206" s="8" t="s">
        <v>432</v>
      </c>
      <c r="F206" s="8" t="s">
        <v>1234</v>
      </c>
      <c r="G206" s="8" t="s">
        <v>602</v>
      </c>
      <c r="H206" s="8" t="s">
        <v>1112</v>
      </c>
      <c r="I206" s="8" t="s">
        <v>603</v>
      </c>
      <c r="J206" s="8" t="s">
        <v>608</v>
      </c>
      <c r="K206" s="24">
        <v>46086</v>
      </c>
      <c r="L206" s="24">
        <v>46050</v>
      </c>
      <c r="M206" s="24">
        <v>46086</v>
      </c>
      <c r="N206" s="8" t="s">
        <v>1224</v>
      </c>
      <c r="O206" s="24"/>
      <c r="P206" s="8"/>
    </row>
    <row r="207" spans="1:16" x14ac:dyDescent="0.2">
      <c r="A207" s="8" t="s">
        <v>916</v>
      </c>
      <c r="B207" s="8" t="s">
        <v>917</v>
      </c>
      <c r="C207" s="8" t="s">
        <v>424</v>
      </c>
      <c r="D207" s="23">
        <v>8</v>
      </c>
      <c r="E207" s="8" t="s">
        <v>424</v>
      </c>
      <c r="F207" s="8" t="s">
        <v>918</v>
      </c>
      <c r="G207" s="8" t="s">
        <v>602</v>
      </c>
      <c r="H207" s="8" t="s">
        <v>1092</v>
      </c>
      <c r="I207" s="8" t="s">
        <v>603</v>
      </c>
      <c r="J207" s="8" t="s">
        <v>608</v>
      </c>
      <c r="K207" s="24">
        <v>46050</v>
      </c>
      <c r="L207" s="24">
        <v>45916</v>
      </c>
      <c r="M207" s="24">
        <v>46050</v>
      </c>
      <c r="N207" s="8" t="s">
        <v>681</v>
      </c>
      <c r="O207" s="24">
        <v>55043</v>
      </c>
      <c r="P207" s="8" t="s">
        <v>1392</v>
      </c>
    </row>
    <row r="208" spans="1:16" x14ac:dyDescent="0.2">
      <c r="A208" s="8" t="s">
        <v>1063</v>
      </c>
      <c r="B208" s="8" t="s">
        <v>617</v>
      </c>
      <c r="C208" s="8" t="s">
        <v>11</v>
      </c>
      <c r="D208" s="23">
        <v>9</v>
      </c>
      <c r="E208" s="8" t="s">
        <v>1064</v>
      </c>
      <c r="F208" s="8" t="s">
        <v>1065</v>
      </c>
      <c r="G208" s="8" t="s">
        <v>602</v>
      </c>
      <c r="H208" s="8" t="s">
        <v>616</v>
      </c>
      <c r="I208" s="8" t="s">
        <v>603</v>
      </c>
      <c r="J208" s="8" t="s">
        <v>608</v>
      </c>
      <c r="K208" s="24">
        <v>46107</v>
      </c>
      <c r="L208" s="24">
        <v>45847</v>
      </c>
      <c r="M208" s="24">
        <v>45983</v>
      </c>
      <c r="N208" s="8" t="s">
        <v>618</v>
      </c>
      <c r="O208" s="24"/>
      <c r="P208" s="8"/>
    </row>
    <row r="209" spans="1:16" x14ac:dyDescent="0.2">
      <c r="A209" s="8" t="s">
        <v>910</v>
      </c>
      <c r="B209" s="8" t="s">
        <v>617</v>
      </c>
      <c r="C209" s="8" t="s">
        <v>12</v>
      </c>
      <c r="D209" s="23">
        <v>9</v>
      </c>
      <c r="E209" s="8" t="s">
        <v>911</v>
      </c>
      <c r="F209" s="8" t="s">
        <v>1006</v>
      </c>
      <c r="G209" s="8" t="s">
        <v>602</v>
      </c>
      <c r="H209" s="8" t="s">
        <v>616</v>
      </c>
      <c r="I209" s="8" t="s">
        <v>603</v>
      </c>
      <c r="J209" s="8" t="s">
        <v>608</v>
      </c>
      <c r="K209" s="24">
        <v>46107</v>
      </c>
      <c r="L209" s="24">
        <v>45847</v>
      </c>
      <c r="M209" s="24">
        <v>45983</v>
      </c>
      <c r="N209" s="8" t="s">
        <v>618</v>
      </c>
      <c r="O209" s="24"/>
      <c r="P209" s="8"/>
    </row>
    <row r="210" spans="1:16" x14ac:dyDescent="0.2">
      <c r="A210" s="8" t="s">
        <v>1066</v>
      </c>
      <c r="B210" s="8" t="s">
        <v>617</v>
      </c>
      <c r="C210" s="8" t="s">
        <v>13</v>
      </c>
      <c r="D210" s="23">
        <v>9</v>
      </c>
      <c r="E210" s="8" t="s">
        <v>1067</v>
      </c>
      <c r="F210" s="8" t="s">
        <v>1068</v>
      </c>
      <c r="G210" s="8" t="s">
        <v>602</v>
      </c>
      <c r="H210" s="8" t="s">
        <v>616</v>
      </c>
      <c r="I210" s="8" t="s">
        <v>603</v>
      </c>
      <c r="J210" s="8" t="s">
        <v>608</v>
      </c>
      <c r="K210" s="24">
        <v>46107</v>
      </c>
      <c r="L210" s="24">
        <v>45847</v>
      </c>
      <c r="M210" s="24">
        <v>45983</v>
      </c>
      <c r="N210" s="8" t="s">
        <v>618</v>
      </c>
      <c r="O210" s="24"/>
      <c r="P210" s="8"/>
    </row>
    <row r="211" spans="1:16" x14ac:dyDescent="0.2">
      <c r="A211" s="8" t="s">
        <v>1533</v>
      </c>
      <c r="B211" s="8" t="s">
        <v>1509</v>
      </c>
      <c r="C211" s="8" t="s">
        <v>1535</v>
      </c>
      <c r="D211" s="23">
        <v>9</v>
      </c>
      <c r="E211" s="8" t="s">
        <v>1536</v>
      </c>
      <c r="F211" s="8" t="s">
        <v>1691</v>
      </c>
      <c r="G211" s="8" t="s">
        <v>602</v>
      </c>
      <c r="H211" s="8" t="s">
        <v>1005</v>
      </c>
      <c r="I211" s="8" t="s">
        <v>603</v>
      </c>
      <c r="J211" s="8" t="s">
        <v>608</v>
      </c>
      <c r="K211" s="24">
        <v>46098</v>
      </c>
      <c r="L211" s="24">
        <v>46083</v>
      </c>
      <c r="M211" s="24">
        <v>46085</v>
      </c>
      <c r="N211" s="8"/>
      <c r="O211" s="24"/>
      <c r="P211" s="8"/>
    </row>
    <row r="212" spans="1:16" x14ac:dyDescent="0.2">
      <c r="A212" s="8" t="s">
        <v>990</v>
      </c>
      <c r="B212" s="8" t="s">
        <v>920</v>
      </c>
      <c r="C212" s="8" t="s">
        <v>448</v>
      </c>
      <c r="D212" s="23">
        <v>9</v>
      </c>
      <c r="E212" s="8" t="s">
        <v>448</v>
      </c>
      <c r="F212" s="8" t="s">
        <v>991</v>
      </c>
      <c r="G212" s="8" t="s">
        <v>602</v>
      </c>
      <c r="H212" s="8" t="s">
        <v>1112</v>
      </c>
      <c r="I212" s="8" t="s">
        <v>603</v>
      </c>
      <c r="J212" s="8" t="s">
        <v>608</v>
      </c>
      <c r="K212" s="24">
        <v>46086</v>
      </c>
      <c r="L212" s="24">
        <v>45916</v>
      </c>
      <c r="M212" s="24">
        <v>46050</v>
      </c>
      <c r="N212" s="8"/>
      <c r="O212" s="24"/>
      <c r="P212" s="8"/>
    </row>
    <row r="213" spans="1:16" x14ac:dyDescent="0.2">
      <c r="A213" s="8" t="s">
        <v>1086</v>
      </c>
      <c r="B213" s="8" t="s">
        <v>1087</v>
      </c>
      <c r="C213" s="8" t="s">
        <v>579</v>
      </c>
      <c r="D213" s="23">
        <v>10</v>
      </c>
      <c r="E213" s="8" t="s">
        <v>1088</v>
      </c>
      <c r="F213" s="8" t="s">
        <v>1250</v>
      </c>
      <c r="G213" s="8" t="s">
        <v>602</v>
      </c>
      <c r="H213" s="8" t="s">
        <v>902</v>
      </c>
      <c r="I213" s="8" t="s">
        <v>603</v>
      </c>
      <c r="J213" s="8" t="s">
        <v>608</v>
      </c>
      <c r="K213" s="24">
        <v>46098</v>
      </c>
      <c r="L213" s="24">
        <v>45947</v>
      </c>
      <c r="M213" s="24">
        <v>46002</v>
      </c>
      <c r="N213" s="8" t="s">
        <v>1090</v>
      </c>
      <c r="O213" s="24"/>
      <c r="P213" s="8"/>
    </row>
    <row r="214" spans="1:16" x14ac:dyDescent="0.2">
      <c r="A214" s="8" t="s">
        <v>936</v>
      </c>
      <c r="B214" s="8" t="s">
        <v>937</v>
      </c>
      <c r="C214" s="8" t="s">
        <v>9</v>
      </c>
      <c r="D214" s="23">
        <v>10</v>
      </c>
      <c r="E214" s="8" t="s">
        <v>938</v>
      </c>
      <c r="F214" s="8" t="s">
        <v>939</v>
      </c>
      <c r="G214" s="8" t="s">
        <v>602</v>
      </c>
      <c r="H214" s="8" t="s">
        <v>904</v>
      </c>
      <c r="I214" s="8" t="s">
        <v>603</v>
      </c>
      <c r="J214" s="8" t="s">
        <v>608</v>
      </c>
      <c r="K214" s="24">
        <v>46107</v>
      </c>
      <c r="L214" s="24">
        <v>45937</v>
      </c>
      <c r="M214" s="24">
        <v>46002</v>
      </c>
      <c r="N214" s="8" t="s">
        <v>647</v>
      </c>
      <c r="O214" s="24">
        <v>47786</v>
      </c>
      <c r="P214" s="8" t="s">
        <v>1407</v>
      </c>
    </row>
    <row r="215" spans="1:16" x14ac:dyDescent="0.2">
      <c r="A215" s="8" t="s">
        <v>1471</v>
      </c>
      <c r="B215" s="8" t="s">
        <v>1472</v>
      </c>
      <c r="C215" s="8" t="s">
        <v>4</v>
      </c>
      <c r="D215" s="23">
        <v>10</v>
      </c>
      <c r="E215" s="8" t="s">
        <v>1473</v>
      </c>
      <c r="F215" s="8" t="s">
        <v>1474</v>
      </c>
      <c r="G215" s="8" t="s">
        <v>602</v>
      </c>
      <c r="H215" s="8" t="s">
        <v>904</v>
      </c>
      <c r="I215" s="8" t="s">
        <v>603</v>
      </c>
      <c r="J215" s="8" t="s">
        <v>608</v>
      </c>
      <c r="K215" s="24">
        <v>46107</v>
      </c>
      <c r="L215" s="24">
        <v>46058</v>
      </c>
      <c r="M215" s="24">
        <v>46062</v>
      </c>
      <c r="N215" s="8" t="s">
        <v>1318</v>
      </c>
      <c r="O215" s="24">
        <v>46266</v>
      </c>
      <c r="P215" s="8" t="s">
        <v>1319</v>
      </c>
    </row>
    <row r="216" spans="1:16" x14ac:dyDescent="0.2">
      <c r="A216" s="8" t="s">
        <v>998</v>
      </c>
      <c r="B216" s="8" t="s">
        <v>920</v>
      </c>
      <c r="C216" s="8" t="s">
        <v>451</v>
      </c>
      <c r="D216" s="23">
        <v>10</v>
      </c>
      <c r="E216" s="8" t="s">
        <v>451</v>
      </c>
      <c r="F216" s="8" t="s">
        <v>999</v>
      </c>
      <c r="G216" s="8" t="s">
        <v>602</v>
      </c>
      <c r="H216" s="8" t="s">
        <v>616</v>
      </c>
      <c r="I216" s="8" t="s">
        <v>603</v>
      </c>
      <c r="J216" s="8" t="s">
        <v>608</v>
      </c>
      <c r="K216" s="24">
        <v>46107</v>
      </c>
      <c r="L216" s="24">
        <v>45916</v>
      </c>
      <c r="M216" s="24">
        <v>46050</v>
      </c>
      <c r="N216" s="8"/>
      <c r="O216" s="24"/>
      <c r="P216" s="8"/>
    </row>
    <row r="217" spans="1:16" x14ac:dyDescent="0.2">
      <c r="A217" s="8" t="s">
        <v>957</v>
      </c>
      <c r="B217" s="8" t="s">
        <v>1437</v>
      </c>
      <c r="C217" s="8" t="s">
        <v>437</v>
      </c>
      <c r="D217" s="23">
        <v>10</v>
      </c>
      <c r="E217" s="8" t="s">
        <v>437</v>
      </c>
      <c r="F217" s="8" t="s">
        <v>1438</v>
      </c>
      <c r="G217" s="8" t="s">
        <v>602</v>
      </c>
      <c r="H217" s="8" t="s">
        <v>621</v>
      </c>
      <c r="I217" s="8" t="s">
        <v>603</v>
      </c>
      <c r="J217" s="8" t="s">
        <v>608</v>
      </c>
      <c r="K217" s="24">
        <v>46111</v>
      </c>
      <c r="L217" s="24">
        <v>46066</v>
      </c>
      <c r="M217" s="24">
        <v>46066</v>
      </c>
      <c r="N217" s="8" t="s">
        <v>1351</v>
      </c>
      <c r="O217" s="24">
        <v>46266</v>
      </c>
      <c r="P217" s="8" t="s">
        <v>1352</v>
      </c>
    </row>
    <row r="218" spans="1:16" x14ac:dyDescent="0.2">
      <c r="A218" s="8" t="s">
        <v>987</v>
      </c>
      <c r="B218" s="8" t="s">
        <v>1439</v>
      </c>
      <c r="C218" s="8" t="s">
        <v>447</v>
      </c>
      <c r="D218" s="23">
        <v>10</v>
      </c>
      <c r="E218" s="8" t="s">
        <v>447</v>
      </c>
      <c r="F218" s="8" t="s">
        <v>1440</v>
      </c>
      <c r="G218" s="8" t="s">
        <v>602</v>
      </c>
      <c r="H218" s="8" t="s">
        <v>621</v>
      </c>
      <c r="I218" s="8" t="s">
        <v>603</v>
      </c>
      <c r="J218" s="8" t="s">
        <v>608</v>
      </c>
      <c r="K218" s="24">
        <v>46111</v>
      </c>
      <c r="L218" s="24">
        <v>46066</v>
      </c>
      <c r="M218" s="24">
        <v>46066</v>
      </c>
      <c r="N218" s="8" t="s">
        <v>1351</v>
      </c>
      <c r="O218" s="24">
        <v>46266</v>
      </c>
      <c r="P218" s="8" t="s">
        <v>1352</v>
      </c>
    </row>
    <row r="219" spans="1:16" x14ac:dyDescent="0.2">
      <c r="A219" s="8" t="s">
        <v>943</v>
      </c>
      <c r="B219" s="8" t="s">
        <v>944</v>
      </c>
      <c r="C219" s="8" t="s">
        <v>433</v>
      </c>
      <c r="D219" s="23">
        <v>10</v>
      </c>
      <c r="E219" s="8" t="s">
        <v>433</v>
      </c>
      <c r="F219" s="8" t="s">
        <v>945</v>
      </c>
      <c r="G219" s="8" t="s">
        <v>602</v>
      </c>
      <c r="H219" s="8" t="s">
        <v>1085</v>
      </c>
      <c r="I219" s="8" t="s">
        <v>603</v>
      </c>
      <c r="J219" s="8" t="s">
        <v>608</v>
      </c>
      <c r="K219" s="24">
        <v>46050</v>
      </c>
      <c r="L219" s="24">
        <v>45916</v>
      </c>
      <c r="M219" s="24">
        <v>46050</v>
      </c>
      <c r="N219" s="8" t="s">
        <v>681</v>
      </c>
      <c r="O219" s="24">
        <v>55044</v>
      </c>
      <c r="P219" s="8" t="s">
        <v>1364</v>
      </c>
    </row>
    <row r="220" spans="1:16" x14ac:dyDescent="0.2">
      <c r="A220" s="8" t="s">
        <v>946</v>
      </c>
      <c r="B220" s="8" t="s">
        <v>947</v>
      </c>
      <c r="C220" s="8" t="s">
        <v>434</v>
      </c>
      <c r="D220" s="23">
        <v>10</v>
      </c>
      <c r="E220" s="8" t="s">
        <v>434</v>
      </c>
      <c r="F220" s="8" t="s">
        <v>948</v>
      </c>
      <c r="G220" s="8" t="s">
        <v>602</v>
      </c>
      <c r="H220" s="8" t="s">
        <v>1085</v>
      </c>
      <c r="I220" s="8" t="s">
        <v>603</v>
      </c>
      <c r="J220" s="8" t="s">
        <v>608</v>
      </c>
      <c r="K220" s="24">
        <v>46050</v>
      </c>
      <c r="L220" s="24">
        <v>45916</v>
      </c>
      <c r="M220" s="24">
        <v>46050</v>
      </c>
      <c r="N220" s="8" t="s">
        <v>681</v>
      </c>
      <c r="O220" s="24">
        <v>55043</v>
      </c>
      <c r="P220" s="8" t="s">
        <v>1364</v>
      </c>
    </row>
    <row r="221" spans="1:16" x14ac:dyDescent="0.2">
      <c r="A221" s="8" t="s">
        <v>949</v>
      </c>
      <c r="B221" s="8" t="s">
        <v>950</v>
      </c>
      <c r="C221" s="8" t="s">
        <v>435</v>
      </c>
      <c r="D221" s="23">
        <v>10</v>
      </c>
      <c r="E221" s="8" t="s">
        <v>435</v>
      </c>
      <c r="F221" s="8" t="s">
        <v>951</v>
      </c>
      <c r="G221" s="8" t="s">
        <v>602</v>
      </c>
      <c r="H221" s="8" t="s">
        <v>1085</v>
      </c>
      <c r="I221" s="8" t="s">
        <v>603</v>
      </c>
      <c r="J221" s="8" t="s">
        <v>608</v>
      </c>
      <c r="K221" s="24">
        <v>46050</v>
      </c>
      <c r="L221" s="24">
        <v>45916</v>
      </c>
      <c r="M221" s="24">
        <v>46050</v>
      </c>
      <c r="N221" s="8" t="s">
        <v>681</v>
      </c>
      <c r="O221" s="24">
        <v>55043</v>
      </c>
      <c r="P221" s="8" t="s">
        <v>1364</v>
      </c>
    </row>
    <row r="222" spans="1:16" x14ac:dyDescent="0.2">
      <c r="A222" s="8" t="s">
        <v>952</v>
      </c>
      <c r="B222" s="8" t="s">
        <v>953</v>
      </c>
      <c r="C222" s="8" t="s">
        <v>436</v>
      </c>
      <c r="D222" s="23">
        <v>10</v>
      </c>
      <c r="E222" s="8" t="s">
        <v>436</v>
      </c>
      <c r="F222" s="8" t="s">
        <v>954</v>
      </c>
      <c r="G222" s="8" t="s">
        <v>602</v>
      </c>
      <c r="H222" s="8" t="s">
        <v>1085</v>
      </c>
      <c r="I222" s="8" t="s">
        <v>603</v>
      </c>
      <c r="J222" s="8" t="s">
        <v>608</v>
      </c>
      <c r="K222" s="24">
        <v>46050</v>
      </c>
      <c r="L222" s="24">
        <v>45916</v>
      </c>
      <c r="M222" s="24">
        <v>46050</v>
      </c>
      <c r="N222" s="8" t="s">
        <v>681</v>
      </c>
      <c r="O222" s="24">
        <v>47847</v>
      </c>
      <c r="P222" s="8" t="s">
        <v>1364</v>
      </c>
    </row>
    <row r="223" spans="1:16" x14ac:dyDescent="0.2">
      <c r="A223" s="8" t="s">
        <v>952</v>
      </c>
      <c r="B223" s="8" t="s">
        <v>955</v>
      </c>
      <c r="C223" s="8" t="s">
        <v>436</v>
      </c>
      <c r="D223" s="23">
        <v>10</v>
      </c>
      <c r="E223" s="8" t="s">
        <v>436</v>
      </c>
      <c r="F223" s="8" t="s">
        <v>956</v>
      </c>
      <c r="G223" s="8" t="s">
        <v>602</v>
      </c>
      <c r="H223" s="8" t="s">
        <v>1085</v>
      </c>
      <c r="I223" s="8" t="s">
        <v>603</v>
      </c>
      <c r="J223" s="8" t="s">
        <v>608</v>
      </c>
      <c r="K223" s="24">
        <v>46050</v>
      </c>
      <c r="L223" s="24">
        <v>45916</v>
      </c>
      <c r="M223" s="24">
        <v>46050</v>
      </c>
      <c r="N223" s="8" t="s">
        <v>681</v>
      </c>
      <c r="O223" s="24">
        <v>47847</v>
      </c>
      <c r="P223" s="8" t="s">
        <v>1364</v>
      </c>
    </row>
    <row r="224" spans="1:16" x14ac:dyDescent="0.2">
      <c r="A224" s="8" t="s">
        <v>957</v>
      </c>
      <c r="B224" s="8" t="s">
        <v>958</v>
      </c>
      <c r="C224" s="8" t="s">
        <v>437</v>
      </c>
      <c r="D224" s="23">
        <v>10</v>
      </c>
      <c r="E224" s="8" t="s">
        <v>437</v>
      </c>
      <c r="F224" s="8" t="s">
        <v>959</v>
      </c>
      <c r="G224" s="8" t="s">
        <v>602</v>
      </c>
      <c r="H224" s="8" t="s">
        <v>1085</v>
      </c>
      <c r="I224" s="8" t="s">
        <v>603</v>
      </c>
      <c r="J224" s="8" t="s">
        <v>608</v>
      </c>
      <c r="K224" s="24">
        <v>46050</v>
      </c>
      <c r="L224" s="24">
        <v>45916</v>
      </c>
      <c r="M224" s="24">
        <v>46050</v>
      </c>
      <c r="N224" s="8" t="s">
        <v>681</v>
      </c>
      <c r="O224" s="24">
        <v>46386</v>
      </c>
      <c r="P224" s="8" t="s">
        <v>1364</v>
      </c>
    </row>
    <row r="225" spans="1:16" x14ac:dyDescent="0.2">
      <c r="A225" s="8" t="s">
        <v>987</v>
      </c>
      <c r="B225" s="8" t="s">
        <v>988</v>
      </c>
      <c r="C225" s="8" t="s">
        <v>447</v>
      </c>
      <c r="D225" s="23">
        <v>10</v>
      </c>
      <c r="E225" s="8" t="s">
        <v>447</v>
      </c>
      <c r="F225" s="8" t="s">
        <v>989</v>
      </c>
      <c r="G225" s="8" t="s">
        <v>602</v>
      </c>
      <c r="H225" s="8" t="s">
        <v>1085</v>
      </c>
      <c r="I225" s="8" t="s">
        <v>603</v>
      </c>
      <c r="J225" s="8" t="s">
        <v>608</v>
      </c>
      <c r="K225" s="24">
        <v>46050</v>
      </c>
      <c r="L225" s="24">
        <v>45916</v>
      </c>
      <c r="M225" s="24">
        <v>46050</v>
      </c>
      <c r="N225" s="8" t="s">
        <v>681</v>
      </c>
      <c r="O225" s="24">
        <v>55043</v>
      </c>
      <c r="P225" s="8" t="s">
        <v>1364</v>
      </c>
    </row>
    <row r="226" spans="1:16" x14ac:dyDescent="0.2">
      <c r="A226" s="8" t="s">
        <v>1032</v>
      </c>
      <c r="B226" s="8" t="s">
        <v>617</v>
      </c>
      <c r="C226" s="8" t="s">
        <v>459</v>
      </c>
      <c r="D226" s="23">
        <v>10</v>
      </c>
      <c r="E226" s="8" t="s">
        <v>459</v>
      </c>
      <c r="F226" s="8" t="s">
        <v>1091</v>
      </c>
      <c r="G226" s="8" t="s">
        <v>602</v>
      </c>
      <c r="H226" s="8" t="s">
        <v>1031</v>
      </c>
      <c r="I226" s="8" t="s">
        <v>603</v>
      </c>
      <c r="J226" s="8" t="s">
        <v>608</v>
      </c>
      <c r="K226" s="24">
        <v>46108</v>
      </c>
      <c r="L226" s="24">
        <v>45847</v>
      </c>
      <c r="M226" s="24">
        <v>46002</v>
      </c>
      <c r="N226" s="8" t="s">
        <v>618</v>
      </c>
      <c r="O226" s="24"/>
      <c r="P226" s="8"/>
    </row>
    <row r="227" spans="1:16" x14ac:dyDescent="0.2">
      <c r="A227" s="8" t="s">
        <v>960</v>
      </c>
      <c r="B227" s="8" t="s">
        <v>961</v>
      </c>
      <c r="C227" s="8" t="s">
        <v>438</v>
      </c>
      <c r="D227" s="23">
        <v>10</v>
      </c>
      <c r="E227" s="8" t="s">
        <v>438</v>
      </c>
      <c r="F227" s="8" t="s">
        <v>962</v>
      </c>
      <c r="G227" s="8" t="s">
        <v>602</v>
      </c>
      <c r="H227" s="8" t="s">
        <v>1026</v>
      </c>
      <c r="I227" s="8" t="s">
        <v>603</v>
      </c>
      <c r="J227" s="8" t="s">
        <v>608</v>
      </c>
      <c r="K227" s="24">
        <v>46093</v>
      </c>
      <c r="L227" s="24">
        <v>45916</v>
      </c>
      <c r="M227" s="24">
        <v>46092</v>
      </c>
      <c r="N227" s="8" t="s">
        <v>681</v>
      </c>
      <c r="O227" s="24">
        <v>55044</v>
      </c>
      <c r="P227" s="8" t="s">
        <v>1356</v>
      </c>
    </row>
    <row r="228" spans="1:16" x14ac:dyDescent="0.2">
      <c r="A228" s="8" t="s">
        <v>960</v>
      </c>
      <c r="B228" s="8" t="s">
        <v>1421</v>
      </c>
      <c r="C228" s="8" t="s">
        <v>438</v>
      </c>
      <c r="D228" s="23">
        <v>10</v>
      </c>
      <c r="E228" s="8" t="s">
        <v>438</v>
      </c>
      <c r="F228" s="8" t="s">
        <v>1422</v>
      </c>
      <c r="G228" s="8" t="s">
        <v>602</v>
      </c>
      <c r="H228" s="8" t="s">
        <v>1026</v>
      </c>
      <c r="I228" s="8" t="s">
        <v>603</v>
      </c>
      <c r="J228" s="8" t="s">
        <v>608</v>
      </c>
      <c r="K228" s="24">
        <v>46093</v>
      </c>
      <c r="L228" s="24">
        <v>46066</v>
      </c>
      <c r="M228" s="24">
        <v>46092</v>
      </c>
      <c r="N228" s="8" t="s">
        <v>1351</v>
      </c>
      <c r="O228" s="24">
        <v>46266</v>
      </c>
      <c r="P228" s="8" t="s">
        <v>1352</v>
      </c>
    </row>
    <row r="229" spans="1:16" x14ac:dyDescent="0.2">
      <c r="A229" s="8" t="s">
        <v>963</v>
      </c>
      <c r="B229" s="8" t="s">
        <v>964</v>
      </c>
      <c r="C229" s="8" t="s">
        <v>439</v>
      </c>
      <c r="D229" s="23">
        <v>10</v>
      </c>
      <c r="E229" s="8" t="s">
        <v>439</v>
      </c>
      <c r="F229" s="8" t="s">
        <v>965</v>
      </c>
      <c r="G229" s="8" t="s">
        <v>602</v>
      </c>
      <c r="H229" s="8" t="s">
        <v>1026</v>
      </c>
      <c r="I229" s="8" t="s">
        <v>603</v>
      </c>
      <c r="J229" s="8" t="s">
        <v>608</v>
      </c>
      <c r="K229" s="24">
        <v>46093</v>
      </c>
      <c r="L229" s="24">
        <v>45916</v>
      </c>
      <c r="M229" s="24">
        <v>46092</v>
      </c>
      <c r="N229" s="8" t="s">
        <v>681</v>
      </c>
      <c r="O229" s="24">
        <v>55044</v>
      </c>
      <c r="P229" s="8" t="s">
        <v>1356</v>
      </c>
    </row>
    <row r="230" spans="1:16" x14ac:dyDescent="0.2">
      <c r="A230" s="8" t="s">
        <v>963</v>
      </c>
      <c r="B230" s="8" t="s">
        <v>1423</v>
      </c>
      <c r="C230" s="8" t="s">
        <v>439</v>
      </c>
      <c r="D230" s="23">
        <v>10</v>
      </c>
      <c r="E230" s="8" t="s">
        <v>439</v>
      </c>
      <c r="F230" s="8" t="s">
        <v>1424</v>
      </c>
      <c r="G230" s="8" t="s">
        <v>602</v>
      </c>
      <c r="H230" s="8" t="s">
        <v>1026</v>
      </c>
      <c r="I230" s="8" t="s">
        <v>603</v>
      </c>
      <c r="J230" s="8" t="s">
        <v>608</v>
      </c>
      <c r="K230" s="24">
        <v>46093</v>
      </c>
      <c r="L230" s="24">
        <v>46066</v>
      </c>
      <c r="M230" s="24">
        <v>46092</v>
      </c>
      <c r="N230" s="8" t="s">
        <v>1351</v>
      </c>
      <c r="O230" s="24">
        <v>46266</v>
      </c>
      <c r="P230" s="8" t="s">
        <v>1352</v>
      </c>
    </row>
    <row r="231" spans="1:16" x14ac:dyDescent="0.2">
      <c r="A231" s="8" t="s">
        <v>966</v>
      </c>
      <c r="B231" s="8" t="s">
        <v>967</v>
      </c>
      <c r="C231" s="8" t="s">
        <v>440</v>
      </c>
      <c r="D231" s="23">
        <v>10</v>
      </c>
      <c r="E231" s="8" t="s">
        <v>440</v>
      </c>
      <c r="F231" s="8" t="s">
        <v>968</v>
      </c>
      <c r="G231" s="8" t="s">
        <v>602</v>
      </c>
      <c r="H231" s="8" t="s">
        <v>1026</v>
      </c>
      <c r="I231" s="8" t="s">
        <v>603</v>
      </c>
      <c r="J231" s="8" t="s">
        <v>608</v>
      </c>
      <c r="K231" s="24">
        <v>46093</v>
      </c>
      <c r="L231" s="24">
        <v>45916</v>
      </c>
      <c r="M231" s="24">
        <v>46092</v>
      </c>
      <c r="N231" s="8" t="s">
        <v>681</v>
      </c>
      <c r="O231" s="24">
        <v>55044</v>
      </c>
      <c r="P231" s="8" t="s">
        <v>1356</v>
      </c>
    </row>
    <row r="232" spans="1:16" x14ac:dyDescent="0.2">
      <c r="A232" s="8" t="s">
        <v>966</v>
      </c>
      <c r="B232" s="8" t="s">
        <v>1425</v>
      </c>
      <c r="C232" s="8" t="s">
        <v>440</v>
      </c>
      <c r="D232" s="23">
        <v>10</v>
      </c>
      <c r="E232" s="8" t="s">
        <v>440</v>
      </c>
      <c r="F232" s="8" t="s">
        <v>1426</v>
      </c>
      <c r="G232" s="8" t="s">
        <v>602</v>
      </c>
      <c r="H232" s="8" t="s">
        <v>1026</v>
      </c>
      <c r="I232" s="8" t="s">
        <v>603</v>
      </c>
      <c r="J232" s="8" t="s">
        <v>608</v>
      </c>
      <c r="K232" s="24">
        <v>46093</v>
      </c>
      <c r="L232" s="24">
        <v>46066</v>
      </c>
      <c r="M232" s="24">
        <v>46092</v>
      </c>
      <c r="N232" s="8" t="s">
        <v>1351</v>
      </c>
      <c r="O232" s="24">
        <v>46266</v>
      </c>
      <c r="P232" s="8" t="s">
        <v>1352</v>
      </c>
    </row>
    <row r="233" spans="1:16" x14ac:dyDescent="0.2">
      <c r="A233" s="8" t="s">
        <v>969</v>
      </c>
      <c r="B233" s="8" t="s">
        <v>970</v>
      </c>
      <c r="C233" s="8" t="s">
        <v>441</v>
      </c>
      <c r="D233" s="23">
        <v>10</v>
      </c>
      <c r="E233" s="8" t="s">
        <v>441</v>
      </c>
      <c r="F233" s="8" t="s">
        <v>971</v>
      </c>
      <c r="G233" s="8" t="s">
        <v>602</v>
      </c>
      <c r="H233" s="8" t="s">
        <v>1026</v>
      </c>
      <c r="I233" s="8" t="s">
        <v>603</v>
      </c>
      <c r="J233" s="8" t="s">
        <v>608</v>
      </c>
      <c r="K233" s="24">
        <v>46093</v>
      </c>
      <c r="L233" s="24">
        <v>45916</v>
      </c>
      <c r="M233" s="24">
        <v>46092</v>
      </c>
      <c r="N233" s="8" t="s">
        <v>681</v>
      </c>
      <c r="O233" s="24">
        <v>55044</v>
      </c>
      <c r="P233" s="8" t="s">
        <v>1356</v>
      </c>
    </row>
    <row r="234" spans="1:16" x14ac:dyDescent="0.2">
      <c r="A234" s="8" t="s">
        <v>969</v>
      </c>
      <c r="B234" s="8" t="s">
        <v>1441</v>
      </c>
      <c r="C234" s="8" t="s">
        <v>441</v>
      </c>
      <c r="D234" s="23">
        <v>10</v>
      </c>
      <c r="E234" s="8" t="s">
        <v>441</v>
      </c>
      <c r="F234" s="8" t="s">
        <v>1442</v>
      </c>
      <c r="G234" s="8" t="s">
        <v>602</v>
      </c>
      <c r="H234" s="8" t="s">
        <v>1026</v>
      </c>
      <c r="I234" s="8" t="s">
        <v>603</v>
      </c>
      <c r="J234" s="8" t="s">
        <v>608</v>
      </c>
      <c r="K234" s="24">
        <v>46093</v>
      </c>
      <c r="L234" s="24">
        <v>46066</v>
      </c>
      <c r="M234" s="24">
        <v>46092</v>
      </c>
      <c r="N234" s="8" t="s">
        <v>1351</v>
      </c>
      <c r="O234" s="24">
        <v>46266</v>
      </c>
      <c r="P234" s="8" t="s">
        <v>1352</v>
      </c>
    </row>
    <row r="235" spans="1:16" x14ac:dyDescent="0.2">
      <c r="A235" s="8" t="s">
        <v>972</v>
      </c>
      <c r="B235" s="8" t="s">
        <v>973</v>
      </c>
      <c r="C235" s="8" t="s">
        <v>442</v>
      </c>
      <c r="D235" s="23">
        <v>10</v>
      </c>
      <c r="E235" s="8" t="s">
        <v>442</v>
      </c>
      <c r="F235" s="8" t="s">
        <v>974</v>
      </c>
      <c r="G235" s="8" t="s">
        <v>602</v>
      </c>
      <c r="H235" s="8" t="s">
        <v>1026</v>
      </c>
      <c r="I235" s="8" t="s">
        <v>603</v>
      </c>
      <c r="J235" s="8" t="s">
        <v>608</v>
      </c>
      <c r="K235" s="24">
        <v>46093</v>
      </c>
      <c r="L235" s="24">
        <v>45916</v>
      </c>
      <c r="M235" s="24">
        <v>46092</v>
      </c>
      <c r="N235" s="8" t="s">
        <v>681</v>
      </c>
      <c r="O235" s="24">
        <v>55044</v>
      </c>
      <c r="P235" s="8" t="s">
        <v>1356</v>
      </c>
    </row>
    <row r="236" spans="1:16" x14ac:dyDescent="0.2">
      <c r="A236" s="8" t="s">
        <v>975</v>
      </c>
      <c r="B236" s="8" t="s">
        <v>976</v>
      </c>
      <c r="C236" s="8" t="s">
        <v>443</v>
      </c>
      <c r="D236" s="23">
        <v>10</v>
      </c>
      <c r="E236" s="8" t="s">
        <v>443</v>
      </c>
      <c r="F236" s="8" t="s">
        <v>977</v>
      </c>
      <c r="G236" s="8" t="s">
        <v>602</v>
      </c>
      <c r="H236" s="8" t="s">
        <v>1026</v>
      </c>
      <c r="I236" s="8" t="s">
        <v>603</v>
      </c>
      <c r="J236" s="8" t="s">
        <v>608</v>
      </c>
      <c r="K236" s="24">
        <v>46093</v>
      </c>
      <c r="L236" s="24">
        <v>45916</v>
      </c>
      <c r="M236" s="24">
        <v>46092</v>
      </c>
      <c r="N236" s="8" t="s">
        <v>681</v>
      </c>
      <c r="O236" s="24">
        <v>55044</v>
      </c>
      <c r="P236" s="8" t="s">
        <v>1356</v>
      </c>
    </row>
    <row r="237" spans="1:16" x14ac:dyDescent="0.2">
      <c r="A237" s="8" t="s">
        <v>975</v>
      </c>
      <c r="B237" s="8" t="s">
        <v>1443</v>
      </c>
      <c r="C237" s="8" t="s">
        <v>443</v>
      </c>
      <c r="D237" s="23">
        <v>10</v>
      </c>
      <c r="E237" s="8" t="s">
        <v>443</v>
      </c>
      <c r="F237" s="8" t="s">
        <v>1444</v>
      </c>
      <c r="G237" s="8" t="s">
        <v>602</v>
      </c>
      <c r="H237" s="8" t="s">
        <v>1026</v>
      </c>
      <c r="I237" s="8" t="s">
        <v>603</v>
      </c>
      <c r="J237" s="8" t="s">
        <v>608</v>
      </c>
      <c r="K237" s="24">
        <v>46093</v>
      </c>
      <c r="L237" s="24">
        <v>46066</v>
      </c>
      <c r="M237" s="24">
        <v>46092</v>
      </c>
      <c r="N237" s="8" t="s">
        <v>1351</v>
      </c>
      <c r="O237" s="24">
        <v>46266</v>
      </c>
      <c r="P237" s="8" t="s">
        <v>1352</v>
      </c>
    </row>
    <row r="238" spans="1:16" x14ac:dyDescent="0.2">
      <c r="A238" s="8" t="s">
        <v>978</v>
      </c>
      <c r="B238" s="8" t="s">
        <v>979</v>
      </c>
      <c r="C238" s="8" t="s">
        <v>444</v>
      </c>
      <c r="D238" s="23">
        <v>10</v>
      </c>
      <c r="E238" s="8" t="s">
        <v>444</v>
      </c>
      <c r="F238" s="8" t="s">
        <v>980</v>
      </c>
      <c r="G238" s="8" t="s">
        <v>602</v>
      </c>
      <c r="H238" s="8" t="s">
        <v>1026</v>
      </c>
      <c r="I238" s="8" t="s">
        <v>603</v>
      </c>
      <c r="J238" s="8" t="s">
        <v>608</v>
      </c>
      <c r="K238" s="24">
        <v>46093</v>
      </c>
      <c r="L238" s="24">
        <v>45916</v>
      </c>
      <c r="M238" s="24">
        <v>46092</v>
      </c>
      <c r="N238" s="8" t="s">
        <v>681</v>
      </c>
      <c r="O238" s="24">
        <v>55044</v>
      </c>
      <c r="P238" s="8" t="s">
        <v>1356</v>
      </c>
    </row>
    <row r="239" spans="1:16" x14ac:dyDescent="0.2">
      <c r="A239" s="8" t="s">
        <v>978</v>
      </c>
      <c r="B239" s="8" t="s">
        <v>1427</v>
      </c>
      <c r="C239" s="8" t="s">
        <v>444</v>
      </c>
      <c r="D239" s="23">
        <v>10</v>
      </c>
      <c r="E239" s="8" t="s">
        <v>444</v>
      </c>
      <c r="F239" s="8" t="s">
        <v>1428</v>
      </c>
      <c r="G239" s="8" t="s">
        <v>602</v>
      </c>
      <c r="H239" s="8" t="s">
        <v>1026</v>
      </c>
      <c r="I239" s="8" t="s">
        <v>603</v>
      </c>
      <c r="J239" s="8" t="s">
        <v>608</v>
      </c>
      <c r="K239" s="24">
        <v>46093</v>
      </c>
      <c r="L239" s="24">
        <v>46066</v>
      </c>
      <c r="M239" s="24">
        <v>46092</v>
      </c>
      <c r="N239" s="8" t="s">
        <v>1351</v>
      </c>
      <c r="O239" s="24">
        <v>46266</v>
      </c>
      <c r="P239" s="8" t="s">
        <v>1352</v>
      </c>
    </row>
    <row r="240" spans="1:16" x14ac:dyDescent="0.2">
      <c r="A240" s="8" t="s">
        <v>981</v>
      </c>
      <c r="B240" s="8" t="s">
        <v>982</v>
      </c>
      <c r="C240" s="8" t="s">
        <v>445</v>
      </c>
      <c r="D240" s="23">
        <v>10</v>
      </c>
      <c r="E240" s="8" t="s">
        <v>445</v>
      </c>
      <c r="F240" s="8" t="s">
        <v>983</v>
      </c>
      <c r="G240" s="8" t="s">
        <v>602</v>
      </c>
      <c r="H240" s="8" t="s">
        <v>1026</v>
      </c>
      <c r="I240" s="8" t="s">
        <v>603</v>
      </c>
      <c r="J240" s="8" t="s">
        <v>608</v>
      </c>
      <c r="K240" s="24">
        <v>46093</v>
      </c>
      <c r="L240" s="24">
        <v>45916</v>
      </c>
      <c r="M240" s="24">
        <v>46092</v>
      </c>
      <c r="N240" s="8" t="s">
        <v>681</v>
      </c>
      <c r="O240" s="24">
        <v>55043</v>
      </c>
      <c r="P240" s="8" t="s">
        <v>1356</v>
      </c>
    </row>
    <row r="241" spans="1:16" x14ac:dyDescent="0.2">
      <c r="A241" s="8" t="s">
        <v>981</v>
      </c>
      <c r="B241" s="8" t="s">
        <v>1429</v>
      </c>
      <c r="C241" s="8" t="s">
        <v>445</v>
      </c>
      <c r="D241" s="23">
        <v>10</v>
      </c>
      <c r="E241" s="8" t="s">
        <v>445</v>
      </c>
      <c r="F241" s="8" t="s">
        <v>1430</v>
      </c>
      <c r="G241" s="8" t="s">
        <v>602</v>
      </c>
      <c r="H241" s="8" t="s">
        <v>1026</v>
      </c>
      <c r="I241" s="8" t="s">
        <v>603</v>
      </c>
      <c r="J241" s="8" t="s">
        <v>608</v>
      </c>
      <c r="K241" s="24">
        <v>46093</v>
      </c>
      <c r="L241" s="24">
        <v>46066</v>
      </c>
      <c r="M241" s="24">
        <v>46092</v>
      </c>
      <c r="N241" s="8" t="s">
        <v>1351</v>
      </c>
      <c r="O241" s="24">
        <v>46266</v>
      </c>
      <c r="P241" s="8" t="s">
        <v>1352</v>
      </c>
    </row>
    <row r="242" spans="1:16" x14ac:dyDescent="0.2">
      <c r="A242" s="8" t="s">
        <v>990</v>
      </c>
      <c r="B242" s="8" t="s">
        <v>1246</v>
      </c>
      <c r="C242" s="8" t="s">
        <v>448</v>
      </c>
      <c r="D242" s="23">
        <v>10</v>
      </c>
      <c r="E242" s="8" t="s">
        <v>448</v>
      </c>
      <c r="F242" s="8" t="s">
        <v>1247</v>
      </c>
      <c r="G242" s="8" t="s">
        <v>602</v>
      </c>
      <c r="H242" s="8" t="s">
        <v>1026</v>
      </c>
      <c r="I242" s="8" t="s">
        <v>603</v>
      </c>
      <c r="J242" s="8" t="s">
        <v>608</v>
      </c>
      <c r="K242" s="24">
        <v>46093</v>
      </c>
      <c r="L242" s="24">
        <v>46050</v>
      </c>
      <c r="M242" s="24">
        <v>46092</v>
      </c>
      <c r="N242" s="8" t="s">
        <v>1224</v>
      </c>
      <c r="O242" s="24"/>
      <c r="P242" s="8"/>
    </row>
    <row r="243" spans="1:16" x14ac:dyDescent="0.2">
      <c r="A243" s="8" t="s">
        <v>992</v>
      </c>
      <c r="B243" s="8" t="s">
        <v>1248</v>
      </c>
      <c r="C243" s="8" t="s">
        <v>449</v>
      </c>
      <c r="D243" s="23">
        <v>10</v>
      </c>
      <c r="E243" s="8" t="s">
        <v>449</v>
      </c>
      <c r="F243" s="8" t="s">
        <v>1249</v>
      </c>
      <c r="G243" s="8" t="s">
        <v>602</v>
      </c>
      <c r="H243" s="8" t="s">
        <v>1026</v>
      </c>
      <c r="I243" s="8" t="s">
        <v>603</v>
      </c>
      <c r="J243" s="8" t="s">
        <v>608</v>
      </c>
      <c r="K243" s="24">
        <v>46093</v>
      </c>
      <c r="L243" s="24">
        <v>46050</v>
      </c>
      <c r="M243" s="24">
        <v>46092</v>
      </c>
      <c r="N243" s="8" t="s">
        <v>1224</v>
      </c>
      <c r="O243" s="24"/>
      <c r="P243" s="8"/>
    </row>
    <row r="244" spans="1:16" x14ac:dyDescent="0.2">
      <c r="A244" s="8" t="s">
        <v>678</v>
      </c>
      <c r="B244" s="8" t="s">
        <v>679</v>
      </c>
      <c r="C244" s="8" t="s">
        <v>387</v>
      </c>
      <c r="D244" s="23">
        <v>10</v>
      </c>
      <c r="E244" s="8" t="s">
        <v>387</v>
      </c>
      <c r="F244" s="8" t="s">
        <v>994</v>
      </c>
      <c r="G244" s="8" t="s">
        <v>602</v>
      </c>
      <c r="H244" s="8" t="s">
        <v>1112</v>
      </c>
      <c r="I244" s="8" t="s">
        <v>603</v>
      </c>
      <c r="J244" s="8" t="s">
        <v>608</v>
      </c>
      <c r="K244" s="24">
        <v>46086</v>
      </c>
      <c r="L244" s="24">
        <v>45916</v>
      </c>
      <c r="M244" s="24">
        <v>46050</v>
      </c>
      <c r="N244" s="8" t="s">
        <v>681</v>
      </c>
      <c r="O244" s="24">
        <v>55044</v>
      </c>
      <c r="P244" s="8" t="s">
        <v>1313</v>
      </c>
    </row>
    <row r="245" spans="1:16" x14ac:dyDescent="0.2">
      <c r="A245" s="8" t="s">
        <v>943</v>
      </c>
      <c r="B245" s="8" t="s">
        <v>1431</v>
      </c>
      <c r="C245" s="8" t="s">
        <v>433</v>
      </c>
      <c r="D245" s="23">
        <v>10</v>
      </c>
      <c r="E245" s="8" t="s">
        <v>433</v>
      </c>
      <c r="F245" s="8" t="s">
        <v>1432</v>
      </c>
      <c r="G245" s="8" t="s">
        <v>602</v>
      </c>
      <c r="H245" s="8" t="s">
        <v>1112</v>
      </c>
      <c r="I245" s="8" t="s">
        <v>603</v>
      </c>
      <c r="J245" s="8" t="s">
        <v>608</v>
      </c>
      <c r="K245" s="24">
        <v>46086</v>
      </c>
      <c r="L245" s="24">
        <v>46066</v>
      </c>
      <c r="M245" s="24">
        <v>46086</v>
      </c>
      <c r="N245" s="8" t="s">
        <v>1351</v>
      </c>
      <c r="O245" s="24">
        <v>46266</v>
      </c>
      <c r="P245" s="8" t="s">
        <v>1352</v>
      </c>
    </row>
    <row r="246" spans="1:16" x14ac:dyDescent="0.2">
      <c r="A246" s="8" t="s">
        <v>946</v>
      </c>
      <c r="B246" s="8" t="s">
        <v>1433</v>
      </c>
      <c r="C246" s="8" t="s">
        <v>434</v>
      </c>
      <c r="D246" s="23">
        <v>10</v>
      </c>
      <c r="E246" s="8" t="s">
        <v>434</v>
      </c>
      <c r="F246" s="8" t="s">
        <v>1434</v>
      </c>
      <c r="G246" s="8" t="s">
        <v>602</v>
      </c>
      <c r="H246" s="8" t="s">
        <v>1112</v>
      </c>
      <c r="I246" s="8" t="s">
        <v>603</v>
      </c>
      <c r="J246" s="8" t="s">
        <v>608</v>
      </c>
      <c r="K246" s="24">
        <v>46086</v>
      </c>
      <c r="L246" s="24">
        <v>46066</v>
      </c>
      <c r="M246" s="24">
        <v>46086</v>
      </c>
      <c r="N246" s="8" t="s">
        <v>1351</v>
      </c>
      <c r="O246" s="24">
        <v>46266</v>
      </c>
      <c r="P246" s="8" t="s">
        <v>1299</v>
      </c>
    </row>
    <row r="247" spans="1:16" x14ac:dyDescent="0.2">
      <c r="A247" s="8" t="s">
        <v>949</v>
      </c>
      <c r="B247" s="8" t="s">
        <v>1435</v>
      </c>
      <c r="C247" s="8" t="s">
        <v>435</v>
      </c>
      <c r="D247" s="23">
        <v>10</v>
      </c>
      <c r="E247" s="8" t="s">
        <v>435</v>
      </c>
      <c r="F247" s="8" t="s">
        <v>1436</v>
      </c>
      <c r="G247" s="8" t="s">
        <v>602</v>
      </c>
      <c r="H247" s="8" t="s">
        <v>1112</v>
      </c>
      <c r="I247" s="8" t="s">
        <v>603</v>
      </c>
      <c r="J247" s="8" t="s">
        <v>608</v>
      </c>
      <c r="K247" s="24">
        <v>46086</v>
      </c>
      <c r="L247" s="24">
        <v>46066</v>
      </c>
      <c r="M247" s="24">
        <v>46086</v>
      </c>
      <c r="N247" s="8" t="s">
        <v>1351</v>
      </c>
      <c r="O247" s="24">
        <v>46266</v>
      </c>
      <c r="P247" s="8" t="s">
        <v>1352</v>
      </c>
    </row>
    <row r="248" spans="1:16" x14ac:dyDescent="0.2">
      <c r="A248" s="8" t="s">
        <v>992</v>
      </c>
      <c r="B248" s="8" t="s">
        <v>920</v>
      </c>
      <c r="C248" s="8" t="s">
        <v>449</v>
      </c>
      <c r="D248" s="23">
        <v>10</v>
      </c>
      <c r="E248" s="8" t="s">
        <v>449</v>
      </c>
      <c r="F248" s="8" t="s">
        <v>993</v>
      </c>
      <c r="G248" s="8" t="s">
        <v>602</v>
      </c>
      <c r="H248" s="8" t="s">
        <v>1112</v>
      </c>
      <c r="I248" s="8" t="s">
        <v>603</v>
      </c>
      <c r="J248" s="8" t="s">
        <v>608</v>
      </c>
      <c r="K248" s="24">
        <v>46086</v>
      </c>
      <c r="L248" s="24">
        <v>45916</v>
      </c>
      <c r="M248" s="24">
        <v>46050</v>
      </c>
      <c r="N248" s="8"/>
      <c r="O248" s="24"/>
      <c r="P248" s="8"/>
    </row>
    <row r="249" spans="1:16" x14ac:dyDescent="0.2">
      <c r="A249" s="8" t="s">
        <v>810</v>
      </c>
      <c r="B249" s="8" t="s">
        <v>1503</v>
      </c>
      <c r="C249" s="8" t="s">
        <v>583</v>
      </c>
      <c r="D249" s="23">
        <v>10</v>
      </c>
      <c r="E249" s="8" t="s">
        <v>811</v>
      </c>
      <c r="F249" s="8" t="s">
        <v>1504</v>
      </c>
      <c r="G249" s="8" t="s">
        <v>602</v>
      </c>
      <c r="H249" s="8" t="s">
        <v>912</v>
      </c>
      <c r="I249" s="8" t="s">
        <v>603</v>
      </c>
      <c r="J249" s="8" t="s">
        <v>608</v>
      </c>
      <c r="K249" s="24">
        <v>46111</v>
      </c>
      <c r="L249" s="24">
        <v>46065</v>
      </c>
      <c r="M249" s="24">
        <v>46066</v>
      </c>
      <c r="N249" s="8" t="s">
        <v>1306</v>
      </c>
      <c r="O249" s="24">
        <v>58805</v>
      </c>
      <c r="P249" s="8" t="s">
        <v>1298</v>
      </c>
    </row>
    <row r="250" spans="1:16" x14ac:dyDescent="0.2">
      <c r="A250" s="8" t="s">
        <v>984</v>
      </c>
      <c r="B250" s="8" t="s">
        <v>985</v>
      </c>
      <c r="C250" s="8" t="s">
        <v>446</v>
      </c>
      <c r="D250" s="23">
        <v>10</v>
      </c>
      <c r="E250" s="8" t="s">
        <v>446</v>
      </c>
      <c r="F250" s="8" t="s">
        <v>986</v>
      </c>
      <c r="G250" s="8" t="s">
        <v>602</v>
      </c>
      <c r="H250" s="8" t="s">
        <v>1092</v>
      </c>
      <c r="I250" s="8" t="s">
        <v>603</v>
      </c>
      <c r="J250" s="8" t="s">
        <v>608</v>
      </c>
      <c r="K250" s="24">
        <v>46050</v>
      </c>
      <c r="L250" s="24">
        <v>45916</v>
      </c>
      <c r="M250" s="24">
        <v>46050</v>
      </c>
      <c r="N250" s="8" t="s">
        <v>681</v>
      </c>
      <c r="O250" s="24">
        <v>55043</v>
      </c>
      <c r="P250" s="8" t="s">
        <v>1392</v>
      </c>
    </row>
    <row r="251" spans="1:16" x14ac:dyDescent="0.2">
      <c r="A251" s="8" t="s">
        <v>1688</v>
      </c>
      <c r="B251" s="8" t="s">
        <v>1692</v>
      </c>
      <c r="C251" s="8" t="s">
        <v>1141</v>
      </c>
      <c r="D251" s="23">
        <v>10</v>
      </c>
      <c r="E251" s="8" t="s">
        <v>1141</v>
      </c>
      <c r="F251" s="8" t="s">
        <v>1693</v>
      </c>
      <c r="G251" s="8" t="s">
        <v>602</v>
      </c>
      <c r="H251" s="8" t="s">
        <v>720</v>
      </c>
      <c r="I251" s="8" t="s">
        <v>603</v>
      </c>
      <c r="J251" s="8" t="s">
        <v>608</v>
      </c>
      <c r="K251" s="24">
        <v>46107</v>
      </c>
      <c r="L251" s="24">
        <v>46098</v>
      </c>
      <c r="M251" s="24">
        <v>46098</v>
      </c>
      <c r="N251" s="8" t="s">
        <v>1515</v>
      </c>
      <c r="O251" s="24"/>
      <c r="P251" s="8"/>
    </row>
    <row r="252" spans="1:16" x14ac:dyDescent="0.2">
      <c r="A252" s="8" t="s">
        <v>1698</v>
      </c>
      <c r="B252" s="8" t="s">
        <v>1708</v>
      </c>
      <c r="C252" s="8" t="s">
        <v>10</v>
      </c>
      <c r="D252" s="23">
        <v>10</v>
      </c>
      <c r="E252" s="8" t="s">
        <v>1700</v>
      </c>
      <c r="F252" s="8" t="s">
        <v>1709</v>
      </c>
      <c r="G252" s="8" t="s">
        <v>602</v>
      </c>
      <c r="H252" s="8" t="s">
        <v>1710</v>
      </c>
      <c r="I252" s="8" t="s">
        <v>603</v>
      </c>
      <c r="J252" s="8" t="s">
        <v>1560</v>
      </c>
      <c r="K252" s="24">
        <v>46111</v>
      </c>
      <c r="L252" s="24">
        <v>46108</v>
      </c>
      <c r="M252" s="24">
        <v>46108</v>
      </c>
      <c r="N252" s="8" t="s">
        <v>1569</v>
      </c>
      <c r="O252" s="24">
        <v>46266</v>
      </c>
      <c r="P252" s="8" t="s">
        <v>1570</v>
      </c>
    </row>
    <row r="253" spans="1:16" x14ac:dyDescent="0.2">
      <c r="A253" s="8" t="s">
        <v>797</v>
      </c>
      <c r="B253" s="8" t="s">
        <v>1694</v>
      </c>
      <c r="C253" s="8" t="s">
        <v>2</v>
      </c>
      <c r="D253" s="23">
        <v>11</v>
      </c>
      <c r="E253" s="8" t="s">
        <v>1192</v>
      </c>
      <c r="F253" s="8" t="s">
        <v>1695</v>
      </c>
      <c r="G253" s="8" t="s">
        <v>602</v>
      </c>
      <c r="H253" s="8" t="s">
        <v>629</v>
      </c>
      <c r="I253" s="8" t="s">
        <v>603</v>
      </c>
      <c r="J253" s="8" t="s">
        <v>608</v>
      </c>
      <c r="K253" s="24">
        <v>46111</v>
      </c>
      <c r="L253" s="24">
        <v>46101</v>
      </c>
      <c r="M253" s="24">
        <v>46107</v>
      </c>
      <c r="N253" s="8" t="s">
        <v>1523</v>
      </c>
      <c r="O253" s="24">
        <v>46266</v>
      </c>
      <c r="P253" s="8" t="s">
        <v>1524</v>
      </c>
    </row>
    <row r="254" spans="1:16" x14ac:dyDescent="0.2">
      <c r="A254" s="8" t="s">
        <v>1000</v>
      </c>
      <c r="B254" s="8" t="s">
        <v>920</v>
      </c>
      <c r="C254" s="8" t="s">
        <v>452</v>
      </c>
      <c r="D254" s="23">
        <v>12</v>
      </c>
      <c r="E254" s="8" t="s">
        <v>452</v>
      </c>
      <c r="F254" s="8" t="s">
        <v>1001</v>
      </c>
      <c r="G254" s="8" t="s">
        <v>602</v>
      </c>
      <c r="H254" s="8" t="s">
        <v>1085</v>
      </c>
      <c r="I254" s="8" t="s">
        <v>603</v>
      </c>
      <c r="J254" s="8" t="s">
        <v>608</v>
      </c>
      <c r="K254" s="24">
        <v>46050</v>
      </c>
      <c r="L254" s="24">
        <v>45916</v>
      </c>
      <c r="M254" s="24">
        <v>46050</v>
      </c>
      <c r="N254" s="8"/>
      <c r="O254" s="24"/>
      <c r="P254" s="8"/>
    </row>
    <row r="255" spans="1:16" x14ac:dyDescent="0.2">
      <c r="A255" s="8" t="s">
        <v>678</v>
      </c>
      <c r="B255" s="8" t="s">
        <v>1257</v>
      </c>
      <c r="C255" s="8" t="s">
        <v>387</v>
      </c>
      <c r="D255" s="23">
        <v>12</v>
      </c>
      <c r="E255" s="8" t="s">
        <v>387</v>
      </c>
      <c r="F255" s="8" t="s">
        <v>1258</v>
      </c>
      <c r="G255" s="8" t="s">
        <v>602</v>
      </c>
      <c r="H255" s="8" t="s">
        <v>1026</v>
      </c>
      <c r="I255" s="8" t="s">
        <v>603</v>
      </c>
      <c r="J255" s="8" t="s">
        <v>608</v>
      </c>
      <c r="K255" s="24">
        <v>46093</v>
      </c>
      <c r="L255" s="24">
        <v>46050</v>
      </c>
      <c r="M255" s="24">
        <v>46092</v>
      </c>
      <c r="N255" s="8" t="s">
        <v>1224</v>
      </c>
      <c r="O255" s="24">
        <v>46266</v>
      </c>
      <c r="P255" s="8" t="s">
        <v>1445</v>
      </c>
    </row>
    <row r="256" spans="1:16" x14ac:dyDescent="0.2">
      <c r="A256" s="8" t="s">
        <v>996</v>
      </c>
      <c r="B256" s="8" t="s">
        <v>1251</v>
      </c>
      <c r="C256" s="8" t="s">
        <v>450</v>
      </c>
      <c r="D256" s="23">
        <v>12</v>
      </c>
      <c r="E256" s="8" t="s">
        <v>450</v>
      </c>
      <c r="F256" s="8" t="s">
        <v>1252</v>
      </c>
      <c r="G256" s="8" t="s">
        <v>602</v>
      </c>
      <c r="H256" s="8" t="s">
        <v>1026</v>
      </c>
      <c r="I256" s="8" t="s">
        <v>603</v>
      </c>
      <c r="J256" s="8" t="s">
        <v>608</v>
      </c>
      <c r="K256" s="24">
        <v>46093</v>
      </c>
      <c r="L256" s="24">
        <v>46050</v>
      </c>
      <c r="M256" s="24">
        <v>46092</v>
      </c>
      <c r="N256" s="8" t="s">
        <v>1224</v>
      </c>
      <c r="O256" s="24">
        <v>46266</v>
      </c>
      <c r="P256" s="8" t="s">
        <v>1445</v>
      </c>
    </row>
    <row r="257" spans="1:16" x14ac:dyDescent="0.2">
      <c r="A257" s="8" t="s">
        <v>998</v>
      </c>
      <c r="B257" s="8" t="s">
        <v>1253</v>
      </c>
      <c r="C257" s="8" t="s">
        <v>451</v>
      </c>
      <c r="D257" s="23">
        <v>12</v>
      </c>
      <c r="E257" s="8" t="s">
        <v>451</v>
      </c>
      <c r="F257" s="8" t="s">
        <v>1254</v>
      </c>
      <c r="G257" s="8" t="s">
        <v>602</v>
      </c>
      <c r="H257" s="8" t="s">
        <v>1026</v>
      </c>
      <c r="I257" s="8" t="s">
        <v>603</v>
      </c>
      <c r="J257" s="8" t="s">
        <v>608</v>
      </c>
      <c r="K257" s="24">
        <v>46093</v>
      </c>
      <c r="L257" s="24">
        <v>46050</v>
      </c>
      <c r="M257" s="24">
        <v>46092</v>
      </c>
      <c r="N257" s="8" t="s">
        <v>1224</v>
      </c>
      <c r="O257" s="24"/>
      <c r="P257" s="8"/>
    </row>
    <row r="258" spans="1:16" x14ac:dyDescent="0.2">
      <c r="A258" s="8" t="s">
        <v>1000</v>
      </c>
      <c r="B258" s="8" t="s">
        <v>1255</v>
      </c>
      <c r="C258" s="8" t="s">
        <v>452</v>
      </c>
      <c r="D258" s="23">
        <v>12</v>
      </c>
      <c r="E258" s="8" t="s">
        <v>452</v>
      </c>
      <c r="F258" s="8" t="s">
        <v>1256</v>
      </c>
      <c r="G258" s="8" t="s">
        <v>602</v>
      </c>
      <c r="H258" s="8" t="s">
        <v>1026</v>
      </c>
      <c r="I258" s="8" t="s">
        <v>603</v>
      </c>
      <c r="J258" s="8" t="s">
        <v>608</v>
      </c>
      <c r="K258" s="24">
        <v>46093</v>
      </c>
      <c r="L258" s="24">
        <v>46050</v>
      </c>
      <c r="M258" s="24">
        <v>46092</v>
      </c>
      <c r="N258" s="8" t="s">
        <v>1224</v>
      </c>
      <c r="O258" s="24"/>
      <c r="P258" s="8"/>
    </row>
    <row r="259" spans="1:16" x14ac:dyDescent="0.2">
      <c r="A259" s="8" t="s">
        <v>996</v>
      </c>
      <c r="B259" s="8" t="s">
        <v>920</v>
      </c>
      <c r="C259" s="8" t="s">
        <v>450</v>
      </c>
      <c r="D259" s="23">
        <v>12</v>
      </c>
      <c r="E259" s="8" t="s">
        <v>450</v>
      </c>
      <c r="F259" s="8" t="s">
        <v>997</v>
      </c>
      <c r="G259" s="8" t="s">
        <v>602</v>
      </c>
      <c r="H259" s="8" t="s">
        <v>1112</v>
      </c>
      <c r="I259" s="8" t="s">
        <v>603</v>
      </c>
      <c r="J259" s="8" t="s">
        <v>608</v>
      </c>
      <c r="K259" s="24">
        <v>46086</v>
      </c>
      <c r="L259" s="24">
        <v>45916</v>
      </c>
      <c r="M259" s="24">
        <v>46050</v>
      </c>
      <c r="N259" s="8"/>
      <c r="O259" s="24"/>
      <c r="P259" s="8"/>
    </row>
    <row r="260" spans="1:16" x14ac:dyDescent="0.2">
      <c r="A260" s="8" t="s">
        <v>806</v>
      </c>
      <c r="B260" s="8" t="s">
        <v>1459</v>
      </c>
      <c r="C260" s="8" t="s">
        <v>59</v>
      </c>
      <c r="D260" s="23">
        <v>12</v>
      </c>
      <c r="E260" s="8" t="s">
        <v>59</v>
      </c>
      <c r="F260" s="8" t="s">
        <v>1460</v>
      </c>
      <c r="G260" s="8" t="s">
        <v>602</v>
      </c>
      <c r="H260" s="8" t="s">
        <v>760</v>
      </c>
      <c r="I260" s="8" t="s">
        <v>603</v>
      </c>
      <c r="J260" s="8" t="s">
        <v>608</v>
      </c>
      <c r="K260" s="24">
        <v>46083</v>
      </c>
      <c r="L260" s="24">
        <v>46065</v>
      </c>
      <c r="M260" s="24">
        <v>46066</v>
      </c>
      <c r="N260" s="8" t="s">
        <v>1306</v>
      </c>
      <c r="O260" s="24">
        <v>58805</v>
      </c>
      <c r="P260" s="8" t="s">
        <v>1298</v>
      </c>
    </row>
    <row r="261" spans="1:16" x14ac:dyDescent="0.2">
      <c r="A261" s="8" t="s">
        <v>810</v>
      </c>
      <c r="B261" s="8" t="s">
        <v>1463</v>
      </c>
      <c r="C261" s="8" t="s">
        <v>583</v>
      </c>
      <c r="D261" s="23">
        <v>13</v>
      </c>
      <c r="E261" s="8" t="s">
        <v>811</v>
      </c>
      <c r="F261" s="8" t="s">
        <v>1464</v>
      </c>
      <c r="G261" s="8" t="s">
        <v>602</v>
      </c>
      <c r="H261" s="8" t="s">
        <v>613</v>
      </c>
      <c r="I261" s="8" t="s">
        <v>603</v>
      </c>
      <c r="J261" s="8" t="s">
        <v>608</v>
      </c>
      <c r="K261" s="24">
        <v>46086</v>
      </c>
      <c r="L261" s="24">
        <v>46058</v>
      </c>
      <c r="M261" s="24">
        <v>46062</v>
      </c>
      <c r="N261" s="8" t="s">
        <v>1318</v>
      </c>
      <c r="O261" s="24">
        <v>46266</v>
      </c>
      <c r="P261" s="8" t="s">
        <v>1319</v>
      </c>
    </row>
    <row r="262" spans="1:16" x14ac:dyDescent="0.2">
      <c r="A262" s="8" t="s">
        <v>1002</v>
      </c>
      <c r="B262" s="8" t="s">
        <v>617</v>
      </c>
      <c r="C262" s="8" t="s">
        <v>82</v>
      </c>
      <c r="D262" s="23">
        <v>14</v>
      </c>
      <c r="E262" s="8" t="s">
        <v>1003</v>
      </c>
      <c r="F262" s="8" t="s">
        <v>1004</v>
      </c>
      <c r="G262" s="8" t="s">
        <v>602</v>
      </c>
      <c r="H262" s="8" t="s">
        <v>1005</v>
      </c>
      <c r="I262" s="8" t="s">
        <v>603</v>
      </c>
      <c r="J262" s="8" t="s">
        <v>608</v>
      </c>
      <c r="K262" s="24">
        <v>46098</v>
      </c>
      <c r="L262" s="24">
        <v>45467</v>
      </c>
      <c r="M262" s="24">
        <v>45839</v>
      </c>
      <c r="N262" s="8" t="s">
        <v>909</v>
      </c>
      <c r="O262" s="24"/>
      <c r="P262" s="8"/>
    </row>
    <row r="263" spans="1:16" x14ac:dyDescent="0.2">
      <c r="A263" s="8" t="s">
        <v>627</v>
      </c>
      <c r="B263" s="8" t="s">
        <v>1696</v>
      </c>
      <c r="C263" s="8" t="s">
        <v>79</v>
      </c>
      <c r="D263" s="23">
        <v>15</v>
      </c>
      <c r="E263" s="8" t="s">
        <v>628</v>
      </c>
      <c r="F263" s="8" t="s">
        <v>1697</v>
      </c>
      <c r="G263" s="8" t="s">
        <v>602</v>
      </c>
      <c r="H263" s="8" t="s">
        <v>621</v>
      </c>
      <c r="I263" s="8" t="s">
        <v>603</v>
      </c>
      <c r="J263" s="8" t="s">
        <v>608</v>
      </c>
      <c r="K263" s="24">
        <v>46111</v>
      </c>
      <c r="L263" s="24">
        <v>46101</v>
      </c>
      <c r="M263" s="24">
        <v>46107</v>
      </c>
      <c r="N263" s="8" t="s">
        <v>1523</v>
      </c>
      <c r="O263" s="24">
        <v>46266</v>
      </c>
      <c r="P263" s="8" t="s">
        <v>1524</v>
      </c>
    </row>
    <row r="264" spans="1:16" x14ac:dyDescent="0.2">
      <c r="A264" s="8" t="s">
        <v>1007</v>
      </c>
      <c r="B264" s="8" t="s">
        <v>1450</v>
      </c>
      <c r="C264" s="8" t="s">
        <v>453</v>
      </c>
      <c r="D264" s="23">
        <v>15</v>
      </c>
      <c r="E264" s="8" t="s">
        <v>453</v>
      </c>
      <c r="F264" s="8" t="s">
        <v>1451</v>
      </c>
      <c r="G264" s="8" t="s">
        <v>602</v>
      </c>
      <c r="H264" s="8" t="s">
        <v>621</v>
      </c>
      <c r="I264" s="8" t="s">
        <v>603</v>
      </c>
      <c r="J264" s="8" t="s">
        <v>608</v>
      </c>
      <c r="K264" s="24">
        <v>46111</v>
      </c>
      <c r="L264" s="24">
        <v>46066</v>
      </c>
      <c r="M264" s="24">
        <v>46066</v>
      </c>
      <c r="N264" s="8" t="s">
        <v>1351</v>
      </c>
      <c r="O264" s="24">
        <v>46266</v>
      </c>
      <c r="P264" s="8" t="s">
        <v>1352</v>
      </c>
    </row>
    <row r="265" spans="1:16" x14ac:dyDescent="0.2">
      <c r="A265" s="8" t="s">
        <v>1010</v>
      </c>
      <c r="B265" s="8" t="s">
        <v>1452</v>
      </c>
      <c r="C265" s="8" t="s">
        <v>454</v>
      </c>
      <c r="D265" s="23">
        <v>15</v>
      </c>
      <c r="E265" s="8" t="s">
        <v>454</v>
      </c>
      <c r="F265" s="8" t="s">
        <v>1453</v>
      </c>
      <c r="G265" s="8" t="s">
        <v>602</v>
      </c>
      <c r="H265" s="8" t="s">
        <v>621</v>
      </c>
      <c r="I265" s="8" t="s">
        <v>603</v>
      </c>
      <c r="J265" s="8" t="s">
        <v>608</v>
      </c>
      <c r="K265" s="24">
        <v>46111</v>
      </c>
      <c r="L265" s="24">
        <v>46066</v>
      </c>
      <c r="M265" s="24">
        <v>46066</v>
      </c>
      <c r="N265" s="8" t="s">
        <v>1351</v>
      </c>
      <c r="O265" s="24">
        <v>46266</v>
      </c>
      <c r="P265" s="8" t="s">
        <v>1352</v>
      </c>
    </row>
    <row r="266" spans="1:16" x14ac:dyDescent="0.2">
      <c r="A266" s="8" t="s">
        <v>1007</v>
      </c>
      <c r="B266" s="8" t="s">
        <v>1008</v>
      </c>
      <c r="C266" s="8" t="s">
        <v>453</v>
      </c>
      <c r="D266" s="23">
        <v>15</v>
      </c>
      <c r="E266" s="8" t="s">
        <v>453</v>
      </c>
      <c r="F266" s="8" t="s">
        <v>1009</v>
      </c>
      <c r="G266" s="8" t="s">
        <v>602</v>
      </c>
      <c r="H266" s="8" t="s">
        <v>1085</v>
      </c>
      <c r="I266" s="8" t="s">
        <v>603</v>
      </c>
      <c r="J266" s="8" t="s">
        <v>608</v>
      </c>
      <c r="K266" s="24">
        <v>46050</v>
      </c>
      <c r="L266" s="24">
        <v>45916</v>
      </c>
      <c r="M266" s="24">
        <v>46050</v>
      </c>
      <c r="N266" s="8" t="s">
        <v>681</v>
      </c>
      <c r="O266" s="24">
        <v>55043</v>
      </c>
      <c r="P266" s="8" t="s">
        <v>1364</v>
      </c>
    </row>
    <row r="267" spans="1:16" x14ac:dyDescent="0.2">
      <c r="A267" s="8" t="s">
        <v>1010</v>
      </c>
      <c r="B267" s="8" t="s">
        <v>1011</v>
      </c>
      <c r="C267" s="8" t="s">
        <v>454</v>
      </c>
      <c r="D267" s="23">
        <v>15</v>
      </c>
      <c r="E267" s="8" t="s">
        <v>454</v>
      </c>
      <c r="F267" s="8" t="s">
        <v>1012</v>
      </c>
      <c r="G267" s="8" t="s">
        <v>602</v>
      </c>
      <c r="H267" s="8" t="s">
        <v>1085</v>
      </c>
      <c r="I267" s="8" t="s">
        <v>603</v>
      </c>
      <c r="J267" s="8" t="s">
        <v>608</v>
      </c>
      <c r="K267" s="24">
        <v>46050</v>
      </c>
      <c r="L267" s="24">
        <v>45916</v>
      </c>
      <c r="M267" s="24">
        <v>46050</v>
      </c>
      <c r="N267" s="8" t="s">
        <v>681</v>
      </c>
      <c r="O267" s="24">
        <v>46386</v>
      </c>
      <c r="P267" s="8" t="s">
        <v>1364</v>
      </c>
    </row>
    <row r="268" spans="1:16" x14ac:dyDescent="0.2">
      <c r="A268" s="8" t="s">
        <v>1106</v>
      </c>
      <c r="B268" s="8" t="s">
        <v>617</v>
      </c>
      <c r="C268" s="8" t="s">
        <v>474</v>
      </c>
      <c r="D268" s="23">
        <v>15</v>
      </c>
      <c r="E268" s="8" t="s">
        <v>1107</v>
      </c>
      <c r="F268" s="8" t="s">
        <v>1108</v>
      </c>
      <c r="G268" s="8" t="s">
        <v>602</v>
      </c>
      <c r="H268" s="8" t="s">
        <v>632</v>
      </c>
      <c r="I268" s="8" t="s">
        <v>603</v>
      </c>
      <c r="J268" s="8" t="s">
        <v>608</v>
      </c>
      <c r="K268" s="24">
        <v>46111</v>
      </c>
      <c r="L268" s="24">
        <v>45877</v>
      </c>
      <c r="M268" s="24">
        <v>45877</v>
      </c>
      <c r="N268" s="8"/>
      <c r="O268" s="24"/>
      <c r="P268" s="8"/>
    </row>
    <row r="269" spans="1:16" x14ac:dyDescent="0.2">
      <c r="A269" s="8" t="s">
        <v>1016</v>
      </c>
      <c r="B269" s="8" t="s">
        <v>1017</v>
      </c>
      <c r="C269" s="8" t="s">
        <v>456</v>
      </c>
      <c r="D269" s="23">
        <v>15</v>
      </c>
      <c r="E269" s="8" t="s">
        <v>456</v>
      </c>
      <c r="F269" s="8" t="s">
        <v>1018</v>
      </c>
      <c r="G269" s="8" t="s">
        <v>602</v>
      </c>
      <c r="H269" s="8" t="s">
        <v>1026</v>
      </c>
      <c r="I269" s="8" t="s">
        <v>603</v>
      </c>
      <c r="J269" s="8" t="s">
        <v>608</v>
      </c>
      <c r="K269" s="24">
        <v>46093</v>
      </c>
      <c r="L269" s="24">
        <v>45916</v>
      </c>
      <c r="M269" s="24">
        <v>46092</v>
      </c>
      <c r="N269" s="8" t="s">
        <v>681</v>
      </c>
      <c r="O269" s="24">
        <v>55044</v>
      </c>
      <c r="P269" s="8" t="s">
        <v>1356</v>
      </c>
    </row>
    <row r="270" spans="1:16" x14ac:dyDescent="0.2">
      <c r="A270" s="8" t="s">
        <v>1016</v>
      </c>
      <c r="B270" s="8" t="s">
        <v>1457</v>
      </c>
      <c r="C270" s="8" t="s">
        <v>456</v>
      </c>
      <c r="D270" s="23">
        <v>15</v>
      </c>
      <c r="E270" s="8" t="s">
        <v>456</v>
      </c>
      <c r="F270" s="8" t="s">
        <v>1458</v>
      </c>
      <c r="G270" s="8" t="s">
        <v>602</v>
      </c>
      <c r="H270" s="8" t="s">
        <v>1026</v>
      </c>
      <c r="I270" s="8" t="s">
        <v>603</v>
      </c>
      <c r="J270" s="8" t="s">
        <v>608</v>
      </c>
      <c r="K270" s="24">
        <v>46093</v>
      </c>
      <c r="L270" s="24">
        <v>46066</v>
      </c>
      <c r="M270" s="24">
        <v>46092</v>
      </c>
      <c r="N270" s="8" t="s">
        <v>1351</v>
      </c>
      <c r="O270" s="24">
        <v>46266</v>
      </c>
      <c r="P270" s="8" t="s">
        <v>1352</v>
      </c>
    </row>
    <row r="271" spans="1:16" x14ac:dyDescent="0.2">
      <c r="A271" s="8" t="s">
        <v>1021</v>
      </c>
      <c r="B271" s="8" t="s">
        <v>1022</v>
      </c>
      <c r="C271" s="8" t="s">
        <v>457</v>
      </c>
      <c r="D271" s="23">
        <v>15</v>
      </c>
      <c r="E271" s="8" t="s">
        <v>457</v>
      </c>
      <c r="F271" s="8" t="s">
        <v>1023</v>
      </c>
      <c r="G271" s="8" t="s">
        <v>602</v>
      </c>
      <c r="H271" s="8" t="s">
        <v>1026</v>
      </c>
      <c r="I271" s="8" t="s">
        <v>603</v>
      </c>
      <c r="J271" s="8" t="s">
        <v>608</v>
      </c>
      <c r="K271" s="24">
        <v>46093</v>
      </c>
      <c r="L271" s="24">
        <v>45916</v>
      </c>
      <c r="M271" s="24">
        <v>46092</v>
      </c>
      <c r="N271" s="8" t="s">
        <v>681</v>
      </c>
      <c r="O271" s="24">
        <v>55044</v>
      </c>
      <c r="P271" s="8" t="s">
        <v>1356</v>
      </c>
    </row>
    <row r="272" spans="1:16" x14ac:dyDescent="0.2">
      <c r="A272" s="8" t="s">
        <v>1021</v>
      </c>
      <c r="B272" s="8" t="s">
        <v>1446</v>
      </c>
      <c r="C272" s="8" t="s">
        <v>457</v>
      </c>
      <c r="D272" s="23">
        <v>15</v>
      </c>
      <c r="E272" s="8" t="s">
        <v>457</v>
      </c>
      <c r="F272" s="8" t="s">
        <v>1447</v>
      </c>
      <c r="G272" s="8" t="s">
        <v>602</v>
      </c>
      <c r="H272" s="8" t="s">
        <v>1026</v>
      </c>
      <c r="I272" s="8" t="s">
        <v>603</v>
      </c>
      <c r="J272" s="8" t="s">
        <v>608</v>
      </c>
      <c r="K272" s="24">
        <v>46093</v>
      </c>
      <c r="L272" s="24">
        <v>46066</v>
      </c>
      <c r="M272" s="24">
        <v>46092</v>
      </c>
      <c r="N272" s="8" t="s">
        <v>1351</v>
      </c>
      <c r="O272" s="24">
        <v>46266</v>
      </c>
      <c r="P272" s="8" t="s">
        <v>1352</v>
      </c>
    </row>
    <row r="273" spans="1:16" x14ac:dyDescent="0.2">
      <c r="A273" s="8" t="s">
        <v>1013</v>
      </c>
      <c r="B273" s="8" t="s">
        <v>1014</v>
      </c>
      <c r="C273" s="8" t="s">
        <v>455</v>
      </c>
      <c r="D273" s="23">
        <v>15</v>
      </c>
      <c r="E273" s="8" t="s">
        <v>455</v>
      </c>
      <c r="F273" s="8" t="s">
        <v>1015</v>
      </c>
      <c r="G273" s="8" t="s">
        <v>602</v>
      </c>
      <c r="H273" s="8" t="s">
        <v>1112</v>
      </c>
      <c r="I273" s="8" t="s">
        <v>603</v>
      </c>
      <c r="J273" s="8" t="s">
        <v>608</v>
      </c>
      <c r="K273" s="24">
        <v>46086</v>
      </c>
      <c r="L273" s="24">
        <v>45916</v>
      </c>
      <c r="M273" s="24">
        <v>46050</v>
      </c>
      <c r="N273" s="8" t="s">
        <v>681</v>
      </c>
      <c r="O273" s="24">
        <v>46386</v>
      </c>
      <c r="P273" s="8" t="s">
        <v>1364</v>
      </c>
    </row>
    <row r="274" spans="1:16" x14ac:dyDescent="0.2">
      <c r="A274" s="8" t="s">
        <v>1013</v>
      </c>
      <c r="B274" s="8" t="s">
        <v>1448</v>
      </c>
      <c r="C274" s="8" t="s">
        <v>455</v>
      </c>
      <c r="D274" s="23">
        <v>15</v>
      </c>
      <c r="E274" s="8" t="s">
        <v>455</v>
      </c>
      <c r="F274" s="8" t="s">
        <v>1449</v>
      </c>
      <c r="G274" s="8" t="s">
        <v>602</v>
      </c>
      <c r="H274" s="8" t="s">
        <v>1112</v>
      </c>
      <c r="I274" s="8" t="s">
        <v>603</v>
      </c>
      <c r="J274" s="8" t="s">
        <v>608</v>
      </c>
      <c r="K274" s="24">
        <v>46086</v>
      </c>
      <c r="L274" s="24">
        <v>46066</v>
      </c>
      <c r="M274" s="24">
        <v>46086</v>
      </c>
      <c r="N274" s="8" t="s">
        <v>1351</v>
      </c>
      <c r="O274" s="24">
        <v>46266</v>
      </c>
      <c r="P274" s="8" t="s">
        <v>1352</v>
      </c>
    </row>
    <row r="275" spans="1:16" x14ac:dyDescent="0.2">
      <c r="A275" s="8" t="s">
        <v>1049</v>
      </c>
      <c r="B275" s="8" t="s">
        <v>1454</v>
      </c>
      <c r="C275" s="8" t="s">
        <v>465</v>
      </c>
      <c r="D275" s="23">
        <v>15</v>
      </c>
      <c r="E275" s="8" t="s">
        <v>465</v>
      </c>
      <c r="F275" s="8" t="s">
        <v>1455</v>
      </c>
      <c r="G275" s="8" t="s">
        <v>602</v>
      </c>
      <c r="H275" s="8" t="s">
        <v>1112</v>
      </c>
      <c r="I275" s="8" t="s">
        <v>603</v>
      </c>
      <c r="J275" s="8" t="s">
        <v>608</v>
      </c>
      <c r="K275" s="24">
        <v>46086</v>
      </c>
      <c r="L275" s="24">
        <v>46066</v>
      </c>
      <c r="M275" s="24">
        <v>46086</v>
      </c>
      <c r="N275" s="8" t="s">
        <v>1351</v>
      </c>
      <c r="O275" s="24">
        <v>46266</v>
      </c>
      <c r="P275" s="8" t="s">
        <v>1352</v>
      </c>
    </row>
    <row r="276" spans="1:16" x14ac:dyDescent="0.2">
      <c r="A276" s="8" t="s">
        <v>984</v>
      </c>
      <c r="B276" s="8" t="s">
        <v>1019</v>
      </c>
      <c r="C276" s="8" t="s">
        <v>446</v>
      </c>
      <c r="D276" s="23">
        <v>15</v>
      </c>
      <c r="E276" s="8" t="s">
        <v>446</v>
      </c>
      <c r="F276" s="8" t="s">
        <v>1020</v>
      </c>
      <c r="G276" s="8" t="s">
        <v>602</v>
      </c>
      <c r="H276" s="8" t="s">
        <v>1092</v>
      </c>
      <c r="I276" s="8" t="s">
        <v>603</v>
      </c>
      <c r="J276" s="8" t="s">
        <v>608</v>
      </c>
      <c r="K276" s="24">
        <v>46050</v>
      </c>
      <c r="L276" s="24">
        <v>45916</v>
      </c>
      <c r="M276" s="24">
        <v>46050</v>
      </c>
      <c r="N276" s="8" t="s">
        <v>681</v>
      </c>
      <c r="O276" s="24">
        <v>55043</v>
      </c>
      <c r="P276" s="8" t="s">
        <v>1392</v>
      </c>
    </row>
    <row r="277" spans="1:16" x14ac:dyDescent="0.2">
      <c r="A277" s="8" t="s">
        <v>1698</v>
      </c>
      <c r="B277" s="8" t="s">
        <v>1699</v>
      </c>
      <c r="C277" s="8" t="s">
        <v>10</v>
      </c>
      <c r="D277" s="23">
        <v>15</v>
      </c>
      <c r="E277" s="8" t="s">
        <v>1700</v>
      </c>
      <c r="F277" s="8" t="s">
        <v>1701</v>
      </c>
      <c r="G277" s="8" t="s">
        <v>602</v>
      </c>
      <c r="H277" s="8" t="s">
        <v>1672</v>
      </c>
      <c r="I277" s="8" t="s">
        <v>603</v>
      </c>
      <c r="J277" s="8" t="s">
        <v>608</v>
      </c>
      <c r="K277" s="24">
        <v>46111</v>
      </c>
      <c r="L277" s="24">
        <v>46098</v>
      </c>
      <c r="M277" s="24">
        <v>46098</v>
      </c>
      <c r="N277" s="8" t="s">
        <v>1515</v>
      </c>
      <c r="O277" s="24">
        <v>46266</v>
      </c>
      <c r="P277" s="8" t="s">
        <v>1549</v>
      </c>
    </row>
    <row r="278" spans="1:16" x14ac:dyDescent="0.2">
      <c r="A278" s="8" t="s">
        <v>913</v>
      </c>
      <c r="B278" s="8" t="s">
        <v>1461</v>
      </c>
      <c r="C278" s="8" t="s">
        <v>423</v>
      </c>
      <c r="D278" s="23">
        <v>16</v>
      </c>
      <c r="E278" s="8" t="s">
        <v>423</v>
      </c>
      <c r="F278" s="8" t="s">
        <v>1462</v>
      </c>
      <c r="G278" s="8" t="s">
        <v>602</v>
      </c>
      <c r="H278" s="8" t="s">
        <v>1026</v>
      </c>
      <c r="I278" s="8" t="s">
        <v>603</v>
      </c>
      <c r="J278" s="8" t="s">
        <v>608</v>
      </c>
      <c r="K278" s="24">
        <v>46093</v>
      </c>
      <c r="L278" s="24">
        <v>46066</v>
      </c>
      <c r="M278" s="24">
        <v>46092</v>
      </c>
      <c r="N278" s="8" t="s">
        <v>1351</v>
      </c>
      <c r="O278" s="24">
        <v>46266</v>
      </c>
      <c r="P278" s="8" t="s">
        <v>1352</v>
      </c>
    </row>
    <row r="279" spans="1:16" x14ac:dyDescent="0.2">
      <c r="A279" s="8" t="s">
        <v>1057</v>
      </c>
      <c r="B279" s="8" t="s">
        <v>920</v>
      </c>
      <c r="C279" s="8" t="s">
        <v>467</v>
      </c>
      <c r="D279" s="23">
        <v>17</v>
      </c>
      <c r="E279" s="8" t="s">
        <v>467</v>
      </c>
      <c r="F279" s="8" t="s">
        <v>1058</v>
      </c>
      <c r="G279" s="8" t="s">
        <v>602</v>
      </c>
      <c r="H279" s="8" t="s">
        <v>1085</v>
      </c>
      <c r="I279" s="8" t="s">
        <v>603</v>
      </c>
      <c r="J279" s="8" t="s">
        <v>608</v>
      </c>
      <c r="K279" s="24">
        <v>46050</v>
      </c>
      <c r="L279" s="24">
        <v>45916</v>
      </c>
      <c r="M279" s="24">
        <v>46050</v>
      </c>
      <c r="N279" s="8"/>
      <c r="O279" s="24"/>
      <c r="P279" s="8"/>
    </row>
    <row r="280" spans="1:16" x14ac:dyDescent="0.2">
      <c r="A280" s="8" t="s">
        <v>1028</v>
      </c>
      <c r="B280" s="8" t="s">
        <v>617</v>
      </c>
      <c r="C280" s="8" t="s">
        <v>88</v>
      </c>
      <c r="D280" s="23">
        <v>18</v>
      </c>
      <c r="E280" s="8" t="s">
        <v>1029</v>
      </c>
      <c r="F280" s="8" t="s">
        <v>1030</v>
      </c>
      <c r="G280" s="8" t="s">
        <v>602</v>
      </c>
      <c r="H280" s="8" t="s">
        <v>807</v>
      </c>
      <c r="I280" s="8" t="s">
        <v>603</v>
      </c>
      <c r="J280" s="8" t="s">
        <v>608</v>
      </c>
      <c r="K280" s="24">
        <v>46111</v>
      </c>
      <c r="L280" s="24">
        <v>45467</v>
      </c>
      <c r="M280" s="24">
        <v>45983</v>
      </c>
      <c r="N280" s="8" t="s">
        <v>909</v>
      </c>
      <c r="O280" s="24"/>
      <c r="P280" s="8"/>
    </row>
    <row r="281" spans="1:16" x14ac:dyDescent="0.2">
      <c r="A281" s="8" t="s">
        <v>627</v>
      </c>
      <c r="B281" s="8" t="s">
        <v>1264</v>
      </c>
      <c r="C281" s="8" t="s">
        <v>79</v>
      </c>
      <c r="D281" s="23">
        <v>19</v>
      </c>
      <c r="E281" s="8" t="s">
        <v>628</v>
      </c>
      <c r="F281" s="8" t="s">
        <v>1265</v>
      </c>
      <c r="G281" s="8" t="s">
        <v>602</v>
      </c>
      <c r="H281" s="8" t="s">
        <v>1026</v>
      </c>
      <c r="I281" s="8" t="s">
        <v>603</v>
      </c>
      <c r="J281" s="8" t="s">
        <v>608</v>
      </c>
      <c r="K281" s="24">
        <v>46093</v>
      </c>
      <c r="L281" s="24">
        <v>46052</v>
      </c>
      <c r="M281" s="24">
        <v>46091</v>
      </c>
      <c r="N281" s="8" t="s">
        <v>1159</v>
      </c>
      <c r="O281" s="24">
        <v>46266</v>
      </c>
      <c r="P281" s="8" t="s">
        <v>1363</v>
      </c>
    </row>
    <row r="282" spans="1:16" x14ac:dyDescent="0.2">
      <c r="A282" s="8" t="s">
        <v>1034</v>
      </c>
      <c r="B282" s="8" t="s">
        <v>1465</v>
      </c>
      <c r="C282" s="8" t="s">
        <v>460</v>
      </c>
      <c r="D282" s="23">
        <v>20</v>
      </c>
      <c r="E282" s="8" t="s">
        <v>460</v>
      </c>
      <c r="F282" s="8" t="s">
        <v>1466</v>
      </c>
      <c r="G282" s="8" t="s">
        <v>602</v>
      </c>
      <c r="H282" s="8" t="s">
        <v>613</v>
      </c>
      <c r="I282" s="8" t="s">
        <v>603</v>
      </c>
      <c r="J282" s="8" t="s">
        <v>608</v>
      </c>
      <c r="K282" s="24">
        <v>46086</v>
      </c>
      <c r="L282" s="24">
        <v>46066</v>
      </c>
      <c r="M282" s="24">
        <v>46066</v>
      </c>
      <c r="N282" s="8" t="s">
        <v>1351</v>
      </c>
      <c r="O282" s="24">
        <v>46266</v>
      </c>
      <c r="P282" s="8" t="s">
        <v>1352</v>
      </c>
    </row>
    <row r="283" spans="1:16" x14ac:dyDescent="0.2">
      <c r="A283" s="8" t="s">
        <v>1037</v>
      </c>
      <c r="B283" s="8" t="s">
        <v>1467</v>
      </c>
      <c r="C283" s="8" t="s">
        <v>461</v>
      </c>
      <c r="D283" s="23">
        <v>20</v>
      </c>
      <c r="E283" s="8" t="s">
        <v>461</v>
      </c>
      <c r="F283" s="8" t="s">
        <v>1468</v>
      </c>
      <c r="G283" s="8" t="s">
        <v>602</v>
      </c>
      <c r="H283" s="8" t="s">
        <v>613</v>
      </c>
      <c r="I283" s="8" t="s">
        <v>603</v>
      </c>
      <c r="J283" s="8" t="s">
        <v>608</v>
      </c>
      <c r="K283" s="24">
        <v>46086</v>
      </c>
      <c r="L283" s="24">
        <v>46066</v>
      </c>
      <c r="M283" s="24">
        <v>46066</v>
      </c>
      <c r="N283" s="8" t="s">
        <v>1351</v>
      </c>
      <c r="O283" s="24">
        <v>46266</v>
      </c>
      <c r="P283" s="8" t="s">
        <v>1352</v>
      </c>
    </row>
    <row r="284" spans="1:16" x14ac:dyDescent="0.2">
      <c r="A284" s="8" t="s">
        <v>1074</v>
      </c>
      <c r="B284" s="8" t="s">
        <v>1469</v>
      </c>
      <c r="C284" s="8" t="s">
        <v>470</v>
      </c>
      <c r="D284" s="23">
        <v>20</v>
      </c>
      <c r="E284" s="8" t="s">
        <v>470</v>
      </c>
      <c r="F284" s="8" t="s">
        <v>1470</v>
      </c>
      <c r="G284" s="8" t="s">
        <v>602</v>
      </c>
      <c r="H284" s="8" t="s">
        <v>613</v>
      </c>
      <c r="I284" s="8" t="s">
        <v>603</v>
      </c>
      <c r="J284" s="8" t="s">
        <v>608</v>
      </c>
      <c r="K284" s="24">
        <v>46086</v>
      </c>
      <c r="L284" s="24">
        <v>46066</v>
      </c>
      <c r="M284" s="24">
        <v>46066</v>
      </c>
      <c r="N284" s="8" t="s">
        <v>1351</v>
      </c>
      <c r="O284" s="24">
        <v>46266</v>
      </c>
      <c r="P284" s="8" t="s">
        <v>1352</v>
      </c>
    </row>
    <row r="285" spans="1:16" x14ac:dyDescent="0.2">
      <c r="A285" s="8" t="s">
        <v>936</v>
      </c>
      <c r="B285" s="8" t="s">
        <v>1260</v>
      </c>
      <c r="C285" s="8" t="s">
        <v>9</v>
      </c>
      <c r="D285" s="23">
        <v>20</v>
      </c>
      <c r="E285" s="8" t="s">
        <v>938</v>
      </c>
      <c r="F285" s="8" t="s">
        <v>1261</v>
      </c>
      <c r="G285" s="8" t="s">
        <v>602</v>
      </c>
      <c r="H285" s="8" t="s">
        <v>904</v>
      </c>
      <c r="I285" s="8" t="s">
        <v>603</v>
      </c>
      <c r="J285" s="8" t="s">
        <v>608</v>
      </c>
      <c r="K285" s="24">
        <v>46107</v>
      </c>
      <c r="L285" s="24">
        <v>45972</v>
      </c>
      <c r="M285" s="24">
        <v>46002</v>
      </c>
      <c r="N285" s="8" t="s">
        <v>1161</v>
      </c>
      <c r="O285" s="24">
        <v>47126</v>
      </c>
      <c r="P285" s="8" t="s">
        <v>1312</v>
      </c>
    </row>
    <row r="286" spans="1:16" x14ac:dyDescent="0.2">
      <c r="A286" s="8" t="s">
        <v>1471</v>
      </c>
      <c r="B286" s="8" t="s">
        <v>1702</v>
      </c>
      <c r="C286" s="8" t="s">
        <v>4</v>
      </c>
      <c r="D286" s="23">
        <v>20</v>
      </c>
      <c r="E286" s="8" t="s">
        <v>1473</v>
      </c>
      <c r="F286" s="8" t="s">
        <v>1703</v>
      </c>
      <c r="G286" s="8" t="s">
        <v>602</v>
      </c>
      <c r="H286" s="8" t="s">
        <v>904</v>
      </c>
      <c r="I286" s="8" t="s">
        <v>603</v>
      </c>
      <c r="J286" s="8" t="s">
        <v>608</v>
      </c>
      <c r="K286" s="24">
        <v>46107</v>
      </c>
      <c r="L286" s="24">
        <v>46101</v>
      </c>
      <c r="M286" s="24">
        <v>46107</v>
      </c>
      <c r="N286" s="8" t="s">
        <v>1523</v>
      </c>
      <c r="O286" s="24">
        <v>46266</v>
      </c>
      <c r="P286" s="8" t="s">
        <v>1524</v>
      </c>
    </row>
    <row r="287" spans="1:16" x14ac:dyDescent="0.2">
      <c r="A287" s="8" t="s">
        <v>952</v>
      </c>
      <c r="B287" s="8" t="s">
        <v>1477</v>
      </c>
      <c r="C287" s="8" t="s">
        <v>436</v>
      </c>
      <c r="D287" s="23">
        <v>20</v>
      </c>
      <c r="E287" s="8" t="s">
        <v>436</v>
      </c>
      <c r="F287" s="8" t="s">
        <v>1478</v>
      </c>
      <c r="G287" s="8" t="s">
        <v>602</v>
      </c>
      <c r="H287" s="8" t="s">
        <v>616</v>
      </c>
      <c r="I287" s="8" t="s">
        <v>603</v>
      </c>
      <c r="J287" s="8" t="s">
        <v>608</v>
      </c>
      <c r="K287" s="24">
        <v>46107</v>
      </c>
      <c r="L287" s="24">
        <v>46066</v>
      </c>
      <c r="M287" s="24">
        <v>46066</v>
      </c>
      <c r="N287" s="8" t="s">
        <v>1351</v>
      </c>
      <c r="O287" s="24">
        <v>46266</v>
      </c>
      <c r="P287" s="8" t="s">
        <v>1352</v>
      </c>
    </row>
    <row r="288" spans="1:16" x14ac:dyDescent="0.2">
      <c r="A288" s="8" t="s">
        <v>1046</v>
      </c>
      <c r="B288" s="8" t="s">
        <v>1481</v>
      </c>
      <c r="C288" s="8" t="s">
        <v>464</v>
      </c>
      <c r="D288" s="23">
        <v>20</v>
      </c>
      <c r="E288" s="8" t="s">
        <v>464</v>
      </c>
      <c r="F288" s="8" t="s">
        <v>1482</v>
      </c>
      <c r="G288" s="8" t="s">
        <v>602</v>
      </c>
      <c r="H288" s="8" t="s">
        <v>616</v>
      </c>
      <c r="I288" s="8" t="s">
        <v>603</v>
      </c>
      <c r="J288" s="8" t="s">
        <v>608</v>
      </c>
      <c r="K288" s="24">
        <v>46107</v>
      </c>
      <c r="L288" s="24">
        <v>46066</v>
      </c>
      <c r="M288" s="24">
        <v>46066</v>
      </c>
      <c r="N288" s="8" t="s">
        <v>1351</v>
      </c>
      <c r="O288" s="24">
        <v>46266</v>
      </c>
      <c r="P288" s="8" t="s">
        <v>1352</v>
      </c>
    </row>
    <row r="289" spans="1:16" x14ac:dyDescent="0.2">
      <c r="A289" s="8" t="s">
        <v>941</v>
      </c>
      <c r="B289" s="8" t="s">
        <v>1704</v>
      </c>
      <c r="C289" s="8" t="s">
        <v>80</v>
      </c>
      <c r="D289" s="23">
        <v>20</v>
      </c>
      <c r="E289" s="8" t="s">
        <v>942</v>
      </c>
      <c r="F289" s="8" t="s">
        <v>1705</v>
      </c>
      <c r="G289" s="8" t="s">
        <v>602</v>
      </c>
      <c r="H289" s="8" t="s">
        <v>621</v>
      </c>
      <c r="I289" s="8" t="s">
        <v>603</v>
      </c>
      <c r="J289" s="8" t="s">
        <v>608</v>
      </c>
      <c r="K289" s="24">
        <v>46111</v>
      </c>
      <c r="L289" s="24">
        <v>46101</v>
      </c>
      <c r="M289" s="24">
        <v>46107</v>
      </c>
      <c r="N289" s="8" t="s">
        <v>1523</v>
      </c>
      <c r="O289" s="24">
        <v>46266</v>
      </c>
      <c r="P289" s="8" t="s">
        <v>1524</v>
      </c>
    </row>
    <row r="290" spans="1:16" x14ac:dyDescent="0.2">
      <c r="A290" s="8" t="s">
        <v>1040</v>
      </c>
      <c r="B290" s="8" t="s">
        <v>1041</v>
      </c>
      <c r="C290" s="8" t="s">
        <v>462</v>
      </c>
      <c r="D290" s="23">
        <v>20</v>
      </c>
      <c r="E290" s="8" t="s">
        <v>462</v>
      </c>
      <c r="F290" s="8" t="s">
        <v>1042</v>
      </c>
      <c r="G290" s="8" t="s">
        <v>602</v>
      </c>
      <c r="H290" s="8" t="s">
        <v>1085</v>
      </c>
      <c r="I290" s="8" t="s">
        <v>603</v>
      </c>
      <c r="J290" s="8" t="s">
        <v>608</v>
      </c>
      <c r="K290" s="24">
        <v>46050</v>
      </c>
      <c r="L290" s="24">
        <v>45916</v>
      </c>
      <c r="M290" s="24">
        <v>46050</v>
      </c>
      <c r="N290" s="8" t="s">
        <v>681</v>
      </c>
      <c r="O290" s="24">
        <v>46386</v>
      </c>
      <c r="P290" s="8" t="s">
        <v>1364</v>
      </c>
    </row>
    <row r="291" spans="1:16" x14ac:dyDescent="0.2">
      <c r="A291" s="8" t="s">
        <v>1046</v>
      </c>
      <c r="B291" s="8" t="s">
        <v>1047</v>
      </c>
      <c r="C291" s="8" t="s">
        <v>464</v>
      </c>
      <c r="D291" s="23">
        <v>20</v>
      </c>
      <c r="E291" s="8" t="s">
        <v>464</v>
      </c>
      <c r="F291" s="8" t="s">
        <v>1048</v>
      </c>
      <c r="G291" s="8" t="s">
        <v>602</v>
      </c>
      <c r="H291" s="8" t="s">
        <v>1085</v>
      </c>
      <c r="I291" s="8" t="s">
        <v>603</v>
      </c>
      <c r="J291" s="8" t="s">
        <v>608</v>
      </c>
      <c r="K291" s="24">
        <v>46050</v>
      </c>
      <c r="L291" s="24">
        <v>45916</v>
      </c>
      <c r="M291" s="24">
        <v>46050</v>
      </c>
      <c r="N291" s="8" t="s">
        <v>681</v>
      </c>
      <c r="O291" s="24">
        <v>55043</v>
      </c>
      <c r="P291" s="8" t="s">
        <v>1364</v>
      </c>
    </row>
    <row r="292" spans="1:16" x14ac:dyDescent="0.2">
      <c r="A292" s="8" t="s">
        <v>1052</v>
      </c>
      <c r="B292" s="8" t="s">
        <v>1053</v>
      </c>
      <c r="C292" s="8" t="s">
        <v>466</v>
      </c>
      <c r="D292" s="23">
        <v>20</v>
      </c>
      <c r="E292" s="8" t="s">
        <v>466</v>
      </c>
      <c r="F292" s="8" t="s">
        <v>1054</v>
      </c>
      <c r="G292" s="8" t="s">
        <v>602</v>
      </c>
      <c r="H292" s="8" t="s">
        <v>1085</v>
      </c>
      <c r="I292" s="8" t="s">
        <v>603</v>
      </c>
      <c r="J292" s="8" t="s">
        <v>608</v>
      </c>
      <c r="K292" s="24">
        <v>46050</v>
      </c>
      <c r="L292" s="24">
        <v>45916</v>
      </c>
      <c r="M292" s="24">
        <v>46050</v>
      </c>
      <c r="N292" s="8" t="s">
        <v>681</v>
      </c>
      <c r="O292" s="24">
        <v>46386</v>
      </c>
      <c r="P292" s="8" t="s">
        <v>1364</v>
      </c>
    </row>
    <row r="293" spans="1:16" x14ac:dyDescent="0.2">
      <c r="A293" s="8" t="s">
        <v>1032</v>
      </c>
      <c r="B293" s="8" t="s">
        <v>617</v>
      </c>
      <c r="C293" s="8" t="s">
        <v>459</v>
      </c>
      <c r="D293" s="23">
        <v>20</v>
      </c>
      <c r="E293" s="8" t="s">
        <v>459</v>
      </c>
      <c r="F293" s="8" t="s">
        <v>1033</v>
      </c>
      <c r="G293" s="8" t="s">
        <v>602</v>
      </c>
      <c r="H293" s="8" t="s">
        <v>1031</v>
      </c>
      <c r="I293" s="8" t="s">
        <v>603</v>
      </c>
      <c r="J293" s="8" t="s">
        <v>608</v>
      </c>
      <c r="K293" s="24">
        <v>46108</v>
      </c>
      <c r="L293" s="24">
        <v>45847</v>
      </c>
      <c r="M293" s="24">
        <v>46002</v>
      </c>
      <c r="N293" s="8" t="s">
        <v>618</v>
      </c>
      <c r="O293" s="24"/>
      <c r="P293" s="8"/>
    </row>
    <row r="294" spans="1:16" x14ac:dyDescent="0.2">
      <c r="A294" s="8" t="s">
        <v>972</v>
      </c>
      <c r="B294" s="8" t="s">
        <v>1485</v>
      </c>
      <c r="C294" s="8" t="s">
        <v>442</v>
      </c>
      <c r="D294" s="23">
        <v>20</v>
      </c>
      <c r="E294" s="8" t="s">
        <v>442</v>
      </c>
      <c r="F294" s="8" t="s">
        <v>1486</v>
      </c>
      <c r="G294" s="8" t="s">
        <v>602</v>
      </c>
      <c r="H294" s="8" t="s">
        <v>1026</v>
      </c>
      <c r="I294" s="8" t="s">
        <v>603</v>
      </c>
      <c r="J294" s="8" t="s">
        <v>608</v>
      </c>
      <c r="K294" s="24">
        <v>46093</v>
      </c>
      <c r="L294" s="24">
        <v>46066</v>
      </c>
      <c r="M294" s="24">
        <v>46092</v>
      </c>
      <c r="N294" s="8" t="s">
        <v>1351</v>
      </c>
      <c r="O294" s="24">
        <v>46266</v>
      </c>
      <c r="P294" s="8" t="s">
        <v>1352</v>
      </c>
    </row>
    <row r="295" spans="1:16" x14ac:dyDescent="0.2">
      <c r="A295" s="8" t="s">
        <v>1057</v>
      </c>
      <c r="B295" s="8" t="s">
        <v>1262</v>
      </c>
      <c r="C295" s="8" t="s">
        <v>467</v>
      </c>
      <c r="D295" s="23">
        <v>20</v>
      </c>
      <c r="E295" s="8" t="s">
        <v>467</v>
      </c>
      <c r="F295" s="8" t="s">
        <v>1263</v>
      </c>
      <c r="G295" s="8" t="s">
        <v>602</v>
      </c>
      <c r="H295" s="8" t="s">
        <v>1026</v>
      </c>
      <c r="I295" s="8" t="s">
        <v>603</v>
      </c>
      <c r="J295" s="8" t="s">
        <v>608</v>
      </c>
      <c r="K295" s="24">
        <v>46093</v>
      </c>
      <c r="L295" s="24">
        <v>46050</v>
      </c>
      <c r="M295" s="24">
        <v>46092</v>
      </c>
      <c r="N295" s="8" t="s">
        <v>1224</v>
      </c>
      <c r="O295" s="24"/>
      <c r="P295" s="8"/>
    </row>
    <row r="296" spans="1:16" x14ac:dyDescent="0.2">
      <c r="A296" s="8" t="s">
        <v>1040</v>
      </c>
      <c r="B296" s="8" t="s">
        <v>1475</v>
      </c>
      <c r="C296" s="8" t="s">
        <v>462</v>
      </c>
      <c r="D296" s="23">
        <v>20</v>
      </c>
      <c r="E296" s="8" t="s">
        <v>462</v>
      </c>
      <c r="F296" s="8" t="s">
        <v>1476</v>
      </c>
      <c r="G296" s="8" t="s">
        <v>602</v>
      </c>
      <c r="H296" s="8" t="s">
        <v>1112</v>
      </c>
      <c r="I296" s="8" t="s">
        <v>603</v>
      </c>
      <c r="J296" s="8" t="s">
        <v>608</v>
      </c>
      <c r="K296" s="24">
        <v>46086</v>
      </c>
      <c r="L296" s="24">
        <v>46066</v>
      </c>
      <c r="M296" s="24">
        <v>46086</v>
      </c>
      <c r="N296" s="8" t="s">
        <v>1351</v>
      </c>
      <c r="O296" s="24">
        <v>46266</v>
      </c>
      <c r="P296" s="8" t="s">
        <v>1352</v>
      </c>
    </row>
    <row r="297" spans="1:16" x14ac:dyDescent="0.2">
      <c r="A297" s="8" t="s">
        <v>1043</v>
      </c>
      <c r="B297" s="8" t="s">
        <v>1044</v>
      </c>
      <c r="C297" s="8" t="s">
        <v>463</v>
      </c>
      <c r="D297" s="23">
        <v>20</v>
      </c>
      <c r="E297" s="8" t="s">
        <v>463</v>
      </c>
      <c r="F297" s="8" t="s">
        <v>1045</v>
      </c>
      <c r="G297" s="8" t="s">
        <v>602</v>
      </c>
      <c r="H297" s="8" t="s">
        <v>1112</v>
      </c>
      <c r="I297" s="8" t="s">
        <v>603</v>
      </c>
      <c r="J297" s="8" t="s">
        <v>608</v>
      </c>
      <c r="K297" s="24">
        <v>46086</v>
      </c>
      <c r="L297" s="24">
        <v>45916</v>
      </c>
      <c r="M297" s="24">
        <v>46050</v>
      </c>
      <c r="N297" s="8" t="s">
        <v>681</v>
      </c>
      <c r="O297" s="24">
        <v>47847</v>
      </c>
      <c r="P297" s="8" t="s">
        <v>1364</v>
      </c>
    </row>
    <row r="298" spans="1:16" x14ac:dyDescent="0.2">
      <c r="A298" s="8" t="s">
        <v>1043</v>
      </c>
      <c r="B298" s="8" t="s">
        <v>1479</v>
      </c>
      <c r="C298" s="8" t="s">
        <v>463</v>
      </c>
      <c r="D298" s="23">
        <v>20</v>
      </c>
      <c r="E298" s="8" t="s">
        <v>463</v>
      </c>
      <c r="F298" s="8" t="s">
        <v>1480</v>
      </c>
      <c r="G298" s="8" t="s">
        <v>602</v>
      </c>
      <c r="H298" s="8" t="s">
        <v>1112</v>
      </c>
      <c r="I298" s="8" t="s">
        <v>603</v>
      </c>
      <c r="J298" s="8" t="s">
        <v>608</v>
      </c>
      <c r="K298" s="24">
        <v>46086</v>
      </c>
      <c r="L298" s="24">
        <v>46066</v>
      </c>
      <c r="M298" s="24">
        <v>46086</v>
      </c>
      <c r="N298" s="8" t="s">
        <v>1351</v>
      </c>
      <c r="O298" s="24">
        <v>46266</v>
      </c>
      <c r="P298" s="8" t="s">
        <v>1352</v>
      </c>
    </row>
    <row r="299" spans="1:16" x14ac:dyDescent="0.2">
      <c r="A299" s="8" t="s">
        <v>1049</v>
      </c>
      <c r="B299" s="8" t="s">
        <v>1050</v>
      </c>
      <c r="C299" s="8" t="s">
        <v>465</v>
      </c>
      <c r="D299" s="23">
        <v>20</v>
      </c>
      <c r="E299" s="8" t="s">
        <v>465</v>
      </c>
      <c r="F299" s="8" t="s">
        <v>1051</v>
      </c>
      <c r="G299" s="8" t="s">
        <v>602</v>
      </c>
      <c r="H299" s="8" t="s">
        <v>1112</v>
      </c>
      <c r="I299" s="8" t="s">
        <v>603</v>
      </c>
      <c r="J299" s="8" t="s">
        <v>608</v>
      </c>
      <c r="K299" s="24">
        <v>46086</v>
      </c>
      <c r="L299" s="24">
        <v>45916</v>
      </c>
      <c r="M299" s="24">
        <v>46050</v>
      </c>
      <c r="N299" s="8" t="s">
        <v>681</v>
      </c>
      <c r="O299" s="24">
        <v>46368</v>
      </c>
      <c r="P299" s="8" t="s">
        <v>1364</v>
      </c>
    </row>
    <row r="300" spans="1:16" x14ac:dyDescent="0.2">
      <c r="A300" s="8" t="s">
        <v>1052</v>
      </c>
      <c r="B300" s="8" t="s">
        <v>1483</v>
      </c>
      <c r="C300" s="8" t="s">
        <v>466</v>
      </c>
      <c r="D300" s="23">
        <v>20</v>
      </c>
      <c r="E300" s="8" t="s">
        <v>466</v>
      </c>
      <c r="F300" s="8" t="s">
        <v>1484</v>
      </c>
      <c r="G300" s="8" t="s">
        <v>602</v>
      </c>
      <c r="H300" s="8" t="s">
        <v>1112</v>
      </c>
      <c r="I300" s="8" t="s">
        <v>603</v>
      </c>
      <c r="J300" s="8" t="s">
        <v>608</v>
      </c>
      <c r="K300" s="24">
        <v>46086</v>
      </c>
      <c r="L300" s="24">
        <v>46066</v>
      </c>
      <c r="M300" s="24">
        <v>46086</v>
      </c>
      <c r="N300" s="8" t="s">
        <v>1351</v>
      </c>
      <c r="O300" s="24">
        <v>46266</v>
      </c>
      <c r="P300" s="8" t="s">
        <v>1352</v>
      </c>
    </row>
    <row r="301" spans="1:16" x14ac:dyDescent="0.2">
      <c r="A301" s="8" t="s">
        <v>1763</v>
      </c>
      <c r="B301" s="8" t="s">
        <v>1306</v>
      </c>
      <c r="C301" s="8" t="s">
        <v>65</v>
      </c>
      <c r="D301" s="23">
        <v>20</v>
      </c>
      <c r="E301" s="8" t="s">
        <v>1764</v>
      </c>
      <c r="F301" s="8" t="s">
        <v>1765</v>
      </c>
      <c r="G301" s="8" t="s">
        <v>602</v>
      </c>
      <c r="H301" s="8" t="s">
        <v>912</v>
      </c>
      <c r="I301" s="8" t="s">
        <v>603</v>
      </c>
      <c r="J301" s="8" t="s">
        <v>608</v>
      </c>
      <c r="K301" s="24">
        <v>46111</v>
      </c>
      <c r="L301" s="24">
        <v>46111</v>
      </c>
      <c r="M301" s="24">
        <v>46111</v>
      </c>
      <c r="N301" s="8"/>
      <c r="O301" s="24"/>
      <c r="P301" s="8"/>
    </row>
    <row r="302" spans="1:16" x14ac:dyDescent="0.2">
      <c r="A302" s="8" t="s">
        <v>1034</v>
      </c>
      <c r="B302" s="8" t="s">
        <v>1035</v>
      </c>
      <c r="C302" s="8" t="s">
        <v>460</v>
      </c>
      <c r="D302" s="23">
        <v>20</v>
      </c>
      <c r="E302" s="8" t="s">
        <v>460</v>
      </c>
      <c r="F302" s="8" t="s">
        <v>1036</v>
      </c>
      <c r="G302" s="8" t="s">
        <v>602</v>
      </c>
      <c r="H302" s="8" t="s">
        <v>1092</v>
      </c>
      <c r="I302" s="8" t="s">
        <v>603</v>
      </c>
      <c r="J302" s="8" t="s">
        <v>608</v>
      </c>
      <c r="K302" s="24">
        <v>46050</v>
      </c>
      <c r="L302" s="24">
        <v>45916</v>
      </c>
      <c r="M302" s="24">
        <v>46050</v>
      </c>
      <c r="N302" s="8" t="s">
        <v>681</v>
      </c>
      <c r="O302" s="24">
        <v>55043</v>
      </c>
      <c r="P302" s="8" t="s">
        <v>1392</v>
      </c>
    </row>
    <row r="303" spans="1:16" x14ac:dyDescent="0.2">
      <c r="A303" s="8" t="s">
        <v>1037</v>
      </c>
      <c r="B303" s="8" t="s">
        <v>1038</v>
      </c>
      <c r="C303" s="8" t="s">
        <v>461</v>
      </c>
      <c r="D303" s="23">
        <v>20</v>
      </c>
      <c r="E303" s="8" t="s">
        <v>461</v>
      </c>
      <c r="F303" s="8" t="s">
        <v>1039</v>
      </c>
      <c r="G303" s="8" t="s">
        <v>602</v>
      </c>
      <c r="H303" s="8" t="s">
        <v>1092</v>
      </c>
      <c r="I303" s="8" t="s">
        <v>603</v>
      </c>
      <c r="J303" s="8" t="s">
        <v>608</v>
      </c>
      <c r="K303" s="24">
        <v>46050</v>
      </c>
      <c r="L303" s="24">
        <v>45916</v>
      </c>
      <c r="M303" s="24">
        <v>46050</v>
      </c>
      <c r="N303" s="8" t="s">
        <v>681</v>
      </c>
      <c r="O303" s="24">
        <v>55043</v>
      </c>
      <c r="P303" s="8" t="s">
        <v>1392</v>
      </c>
    </row>
    <row r="304" spans="1:16" x14ac:dyDescent="0.2">
      <c r="A304" s="8" t="s">
        <v>821</v>
      </c>
      <c r="B304" s="8" t="s">
        <v>1055</v>
      </c>
      <c r="C304" s="8" t="s">
        <v>398</v>
      </c>
      <c r="D304" s="23">
        <v>20</v>
      </c>
      <c r="E304" s="8" t="s">
        <v>398</v>
      </c>
      <c r="F304" s="8" t="s">
        <v>1056</v>
      </c>
      <c r="G304" s="8" t="s">
        <v>602</v>
      </c>
      <c r="H304" s="8" t="s">
        <v>1092</v>
      </c>
      <c r="I304" s="8" t="s">
        <v>603</v>
      </c>
      <c r="J304" s="8" t="s">
        <v>608</v>
      </c>
      <c r="K304" s="24">
        <v>46050</v>
      </c>
      <c r="L304" s="24">
        <v>45916</v>
      </c>
      <c r="M304" s="24">
        <v>46050</v>
      </c>
      <c r="N304" s="8" t="s">
        <v>681</v>
      </c>
      <c r="O304" s="24">
        <v>55043</v>
      </c>
      <c r="P304" s="8" t="s">
        <v>1392</v>
      </c>
    </row>
    <row r="305" spans="1:16" x14ac:dyDescent="0.2">
      <c r="A305" s="8" t="s">
        <v>1698</v>
      </c>
      <c r="B305" s="8" t="s">
        <v>1706</v>
      </c>
      <c r="C305" s="8" t="s">
        <v>10</v>
      </c>
      <c r="D305" s="23">
        <v>21</v>
      </c>
      <c r="E305" s="8" t="s">
        <v>1700</v>
      </c>
      <c r="F305" s="8" t="s">
        <v>1707</v>
      </c>
      <c r="G305" s="8" t="s">
        <v>602</v>
      </c>
      <c r="H305" s="8" t="s">
        <v>1113</v>
      </c>
      <c r="I305" s="8" t="s">
        <v>603</v>
      </c>
      <c r="J305" s="8" t="s">
        <v>608</v>
      </c>
      <c r="K305" s="24">
        <v>46111</v>
      </c>
      <c r="L305" s="24">
        <v>46090</v>
      </c>
      <c r="M305" s="24">
        <v>46091</v>
      </c>
      <c r="N305" s="8" t="s">
        <v>1613</v>
      </c>
      <c r="O305" s="24">
        <v>47545</v>
      </c>
      <c r="P305" s="8" t="s">
        <v>1614</v>
      </c>
    </row>
    <row r="306" spans="1:16" x14ac:dyDescent="0.2">
      <c r="A306" s="8" t="s">
        <v>1074</v>
      </c>
      <c r="B306" s="8" t="s">
        <v>1075</v>
      </c>
      <c r="C306" s="8" t="s">
        <v>470</v>
      </c>
      <c r="D306" s="23">
        <v>22</v>
      </c>
      <c r="E306" s="8" t="s">
        <v>470</v>
      </c>
      <c r="F306" s="8" t="s">
        <v>1076</v>
      </c>
      <c r="G306" s="8" t="s">
        <v>602</v>
      </c>
      <c r="H306" s="8" t="s">
        <v>1092</v>
      </c>
      <c r="I306" s="8" t="s">
        <v>603</v>
      </c>
      <c r="J306" s="8" t="s">
        <v>608</v>
      </c>
      <c r="K306" s="24">
        <v>46050</v>
      </c>
      <c r="L306" s="24">
        <v>45916</v>
      </c>
      <c r="M306" s="24">
        <v>46050</v>
      </c>
      <c r="N306" s="8" t="s">
        <v>681</v>
      </c>
      <c r="O306" s="24">
        <v>55043</v>
      </c>
      <c r="P306" s="8" t="s">
        <v>1487</v>
      </c>
    </row>
    <row r="307" spans="1:16" x14ac:dyDescent="0.2">
      <c r="A307" s="8" t="s">
        <v>821</v>
      </c>
      <c r="B307" s="8" t="s">
        <v>1488</v>
      </c>
      <c r="C307" s="8" t="s">
        <v>398</v>
      </c>
      <c r="D307" s="23">
        <v>25</v>
      </c>
      <c r="E307" s="8" t="s">
        <v>398</v>
      </c>
      <c r="F307" s="8" t="s">
        <v>1489</v>
      </c>
      <c r="G307" s="8" t="s">
        <v>602</v>
      </c>
      <c r="H307" s="8" t="s">
        <v>613</v>
      </c>
      <c r="I307" s="8" t="s">
        <v>603</v>
      </c>
      <c r="J307" s="8" t="s">
        <v>608</v>
      </c>
      <c r="K307" s="24">
        <v>46086</v>
      </c>
      <c r="L307" s="24">
        <v>46066</v>
      </c>
      <c r="M307" s="24">
        <v>46066</v>
      </c>
      <c r="N307" s="8" t="s">
        <v>1351</v>
      </c>
      <c r="O307" s="24">
        <v>46266</v>
      </c>
      <c r="P307" s="8" t="s">
        <v>1352</v>
      </c>
    </row>
    <row r="308" spans="1:16" x14ac:dyDescent="0.2">
      <c r="A308" s="8" t="s">
        <v>984</v>
      </c>
      <c r="B308" s="8" t="s">
        <v>1490</v>
      </c>
      <c r="C308" s="8" t="s">
        <v>446</v>
      </c>
      <c r="D308" s="23">
        <v>25</v>
      </c>
      <c r="E308" s="8" t="s">
        <v>446</v>
      </c>
      <c r="F308" s="8" t="s">
        <v>1491</v>
      </c>
      <c r="G308" s="8" t="s">
        <v>602</v>
      </c>
      <c r="H308" s="8" t="s">
        <v>613</v>
      </c>
      <c r="I308" s="8" t="s">
        <v>603</v>
      </c>
      <c r="J308" s="8" t="s">
        <v>608</v>
      </c>
      <c r="K308" s="24">
        <v>46086</v>
      </c>
      <c r="L308" s="24">
        <v>46066</v>
      </c>
      <c r="M308" s="24">
        <v>46066</v>
      </c>
      <c r="N308" s="8" t="s">
        <v>1351</v>
      </c>
      <c r="O308" s="24">
        <v>46266</v>
      </c>
      <c r="P308" s="8" t="s">
        <v>1352</v>
      </c>
    </row>
    <row r="309" spans="1:16" x14ac:dyDescent="0.2">
      <c r="A309" s="8" t="s">
        <v>1069</v>
      </c>
      <c r="B309" s="8" t="s">
        <v>1070</v>
      </c>
      <c r="C309" s="8" t="s">
        <v>469</v>
      </c>
      <c r="D309" s="23">
        <v>25</v>
      </c>
      <c r="E309" s="8" t="s">
        <v>469</v>
      </c>
      <c r="F309" s="8" t="s">
        <v>1071</v>
      </c>
      <c r="G309" s="8" t="s">
        <v>602</v>
      </c>
      <c r="H309" s="8" t="s">
        <v>1112</v>
      </c>
      <c r="I309" s="8" t="s">
        <v>603</v>
      </c>
      <c r="J309" s="8" t="s">
        <v>608</v>
      </c>
      <c r="K309" s="24">
        <v>46086</v>
      </c>
      <c r="L309" s="24">
        <v>45916</v>
      </c>
      <c r="M309" s="24">
        <v>46050</v>
      </c>
      <c r="N309" s="8" t="s">
        <v>681</v>
      </c>
      <c r="O309" s="24">
        <v>55044</v>
      </c>
      <c r="P309" s="8" t="s">
        <v>1364</v>
      </c>
    </row>
    <row r="310" spans="1:16" x14ac:dyDescent="0.2">
      <c r="A310" s="8" t="s">
        <v>1069</v>
      </c>
      <c r="B310" s="8" t="s">
        <v>1492</v>
      </c>
      <c r="C310" s="8" t="s">
        <v>469</v>
      </c>
      <c r="D310" s="23">
        <v>25</v>
      </c>
      <c r="E310" s="8" t="s">
        <v>469</v>
      </c>
      <c r="F310" s="8" t="s">
        <v>1493</v>
      </c>
      <c r="G310" s="8" t="s">
        <v>602</v>
      </c>
      <c r="H310" s="8" t="s">
        <v>1112</v>
      </c>
      <c r="I310" s="8" t="s">
        <v>603</v>
      </c>
      <c r="J310" s="8" t="s">
        <v>608</v>
      </c>
      <c r="K310" s="24">
        <v>46086</v>
      </c>
      <c r="L310" s="24">
        <v>46066</v>
      </c>
      <c r="M310" s="24">
        <v>46086</v>
      </c>
      <c r="N310" s="8" t="s">
        <v>1351</v>
      </c>
      <c r="O310" s="24">
        <v>46266</v>
      </c>
      <c r="P310" s="8" t="s">
        <v>1352</v>
      </c>
    </row>
    <row r="311" spans="1:16" x14ac:dyDescent="0.2">
      <c r="A311" s="8" t="s">
        <v>815</v>
      </c>
      <c r="B311" s="8" t="s">
        <v>1072</v>
      </c>
      <c r="C311" s="8" t="s">
        <v>396</v>
      </c>
      <c r="D311" s="23">
        <v>25</v>
      </c>
      <c r="E311" s="8" t="s">
        <v>396</v>
      </c>
      <c r="F311" s="8" t="s">
        <v>1073</v>
      </c>
      <c r="G311" s="8" t="s">
        <v>602</v>
      </c>
      <c r="H311" s="8" t="s">
        <v>1112</v>
      </c>
      <c r="I311" s="8" t="s">
        <v>603</v>
      </c>
      <c r="J311" s="8" t="s">
        <v>608</v>
      </c>
      <c r="K311" s="24">
        <v>46086</v>
      </c>
      <c r="L311" s="24">
        <v>45916</v>
      </c>
      <c r="M311" s="24">
        <v>46050</v>
      </c>
      <c r="N311" s="8" t="s">
        <v>681</v>
      </c>
      <c r="O311" s="24">
        <v>46362</v>
      </c>
      <c r="P311" s="8" t="s">
        <v>1494</v>
      </c>
    </row>
    <row r="312" spans="1:16" x14ac:dyDescent="0.2">
      <c r="A312" s="8" t="s">
        <v>810</v>
      </c>
      <c r="B312" s="8" t="s">
        <v>1495</v>
      </c>
      <c r="C312" s="8" t="s">
        <v>583</v>
      </c>
      <c r="D312" s="23">
        <v>25</v>
      </c>
      <c r="E312" s="8" t="s">
        <v>811</v>
      </c>
      <c r="F312" s="8" t="s">
        <v>1496</v>
      </c>
      <c r="G312" s="8" t="s">
        <v>602</v>
      </c>
      <c r="H312" s="8" t="s">
        <v>912</v>
      </c>
      <c r="I312" s="8" t="s">
        <v>603</v>
      </c>
      <c r="J312" s="8" t="s">
        <v>608</v>
      </c>
      <c r="K312" s="24">
        <v>46111</v>
      </c>
      <c r="L312" s="24">
        <v>46065</v>
      </c>
      <c r="M312" s="24">
        <v>46066</v>
      </c>
      <c r="N312" s="8" t="s">
        <v>1306</v>
      </c>
      <c r="O312" s="24">
        <v>58805</v>
      </c>
      <c r="P312" s="8" t="s">
        <v>1298</v>
      </c>
    </row>
    <row r="313" spans="1:16" x14ac:dyDescent="0.2">
      <c r="A313" s="8" t="s">
        <v>1086</v>
      </c>
      <c r="B313" s="8" t="s">
        <v>1087</v>
      </c>
      <c r="C313" s="8" t="s">
        <v>579</v>
      </c>
      <c r="D313" s="23">
        <v>28</v>
      </c>
      <c r="E313" s="8" t="s">
        <v>1088</v>
      </c>
      <c r="F313" s="8" t="s">
        <v>1089</v>
      </c>
      <c r="G313" s="8" t="s">
        <v>602</v>
      </c>
      <c r="H313" s="8" t="s">
        <v>1062</v>
      </c>
      <c r="I313" s="8" t="s">
        <v>603</v>
      </c>
      <c r="J313" s="8" t="s">
        <v>608</v>
      </c>
      <c r="K313" s="24">
        <v>46002</v>
      </c>
      <c r="L313" s="24">
        <v>45947</v>
      </c>
      <c r="M313" s="24">
        <v>46002</v>
      </c>
      <c r="N313" s="8" t="s">
        <v>1090</v>
      </c>
      <c r="O313" s="24"/>
      <c r="P313" s="8"/>
    </row>
    <row r="314" spans="1:16" x14ac:dyDescent="0.2">
      <c r="A314" s="8" t="s">
        <v>1079</v>
      </c>
      <c r="B314" s="8" t="s">
        <v>1497</v>
      </c>
      <c r="C314" s="8" t="s">
        <v>471</v>
      </c>
      <c r="D314" s="23">
        <v>29</v>
      </c>
      <c r="E314" s="8" t="s">
        <v>471</v>
      </c>
      <c r="F314" s="8" t="s">
        <v>1498</v>
      </c>
      <c r="G314" s="8" t="s">
        <v>602</v>
      </c>
      <c r="H314" s="8" t="s">
        <v>613</v>
      </c>
      <c r="I314" s="8" t="s">
        <v>603</v>
      </c>
      <c r="J314" s="8" t="s">
        <v>608</v>
      </c>
      <c r="K314" s="24">
        <v>46086</v>
      </c>
      <c r="L314" s="24">
        <v>46066</v>
      </c>
      <c r="M314" s="24">
        <v>46066</v>
      </c>
      <c r="N314" s="8" t="s">
        <v>1351</v>
      </c>
      <c r="O314" s="24">
        <v>46266</v>
      </c>
      <c r="P314" s="8" t="s">
        <v>1352</v>
      </c>
    </row>
    <row r="315" spans="1:16" x14ac:dyDescent="0.2">
      <c r="A315" s="8" t="s">
        <v>1082</v>
      </c>
      <c r="B315" s="8" t="s">
        <v>1083</v>
      </c>
      <c r="C315" s="8" t="s">
        <v>472</v>
      </c>
      <c r="D315" s="23">
        <v>30</v>
      </c>
      <c r="E315" s="8" t="s">
        <v>472</v>
      </c>
      <c r="F315" s="8" t="s">
        <v>1084</v>
      </c>
      <c r="G315" s="8" t="s">
        <v>602</v>
      </c>
      <c r="H315" s="8" t="s">
        <v>1085</v>
      </c>
      <c r="I315" s="8" t="s">
        <v>603</v>
      </c>
      <c r="J315" s="8" t="s">
        <v>608</v>
      </c>
      <c r="K315" s="24">
        <v>46050</v>
      </c>
      <c r="L315" s="24">
        <v>45916</v>
      </c>
      <c r="M315" s="24">
        <v>46050</v>
      </c>
      <c r="N315" s="8" t="s">
        <v>681</v>
      </c>
      <c r="O315" s="24">
        <v>55043</v>
      </c>
      <c r="P315" s="8" t="s">
        <v>1364</v>
      </c>
    </row>
    <row r="316" spans="1:16" x14ac:dyDescent="0.2">
      <c r="A316" s="8" t="s">
        <v>815</v>
      </c>
      <c r="B316" s="8" t="s">
        <v>1501</v>
      </c>
      <c r="C316" s="8" t="s">
        <v>396</v>
      </c>
      <c r="D316" s="23">
        <v>30</v>
      </c>
      <c r="E316" s="8" t="s">
        <v>396</v>
      </c>
      <c r="F316" s="8" t="s">
        <v>1502</v>
      </c>
      <c r="G316" s="8" t="s">
        <v>602</v>
      </c>
      <c r="H316" s="8" t="s">
        <v>1112</v>
      </c>
      <c r="I316" s="8" t="s">
        <v>603</v>
      </c>
      <c r="J316" s="8" t="s">
        <v>608</v>
      </c>
      <c r="K316" s="24">
        <v>46086</v>
      </c>
      <c r="L316" s="24">
        <v>46066</v>
      </c>
      <c r="M316" s="24">
        <v>46086</v>
      </c>
      <c r="N316" s="8" t="s">
        <v>1351</v>
      </c>
      <c r="O316" s="24">
        <v>46266</v>
      </c>
      <c r="P316" s="8" t="s">
        <v>1352</v>
      </c>
    </row>
    <row r="317" spans="1:16" x14ac:dyDescent="0.2">
      <c r="A317" s="8" t="s">
        <v>1082</v>
      </c>
      <c r="B317" s="8" t="s">
        <v>1499</v>
      </c>
      <c r="C317" s="8" t="s">
        <v>472</v>
      </c>
      <c r="D317" s="23">
        <v>30</v>
      </c>
      <c r="E317" s="8" t="s">
        <v>472</v>
      </c>
      <c r="F317" s="8" t="s">
        <v>1500</v>
      </c>
      <c r="G317" s="8" t="s">
        <v>602</v>
      </c>
      <c r="H317" s="8" t="s">
        <v>1112</v>
      </c>
      <c r="I317" s="8" t="s">
        <v>603</v>
      </c>
      <c r="J317" s="8" t="s">
        <v>608</v>
      </c>
      <c r="K317" s="24">
        <v>46086</v>
      </c>
      <c r="L317" s="24">
        <v>46066</v>
      </c>
      <c r="M317" s="24">
        <v>46086</v>
      </c>
      <c r="N317" s="8" t="s">
        <v>1351</v>
      </c>
      <c r="O317" s="24">
        <v>46266</v>
      </c>
      <c r="P317" s="8" t="s">
        <v>1352</v>
      </c>
    </row>
    <row r="318" spans="1:16" x14ac:dyDescent="0.2">
      <c r="A318" s="8" t="s">
        <v>1079</v>
      </c>
      <c r="B318" s="8" t="s">
        <v>1080</v>
      </c>
      <c r="C318" s="8" t="s">
        <v>471</v>
      </c>
      <c r="D318" s="23">
        <v>30</v>
      </c>
      <c r="E318" s="8" t="s">
        <v>471</v>
      </c>
      <c r="F318" s="8" t="s">
        <v>1081</v>
      </c>
      <c r="G318" s="8" t="s">
        <v>602</v>
      </c>
      <c r="H318" s="8" t="s">
        <v>1092</v>
      </c>
      <c r="I318" s="8" t="s">
        <v>603</v>
      </c>
      <c r="J318" s="8" t="s">
        <v>608</v>
      </c>
      <c r="K318" s="24">
        <v>46050</v>
      </c>
      <c r="L318" s="24">
        <v>45916</v>
      </c>
      <c r="M318" s="24">
        <v>46050</v>
      </c>
      <c r="N318" s="8" t="s">
        <v>681</v>
      </c>
      <c r="O318" s="24">
        <v>55044</v>
      </c>
      <c r="P318" s="8" t="s">
        <v>1392</v>
      </c>
    </row>
    <row r="319" spans="1:16" x14ac:dyDescent="0.2">
      <c r="A319" s="8" t="s">
        <v>1114</v>
      </c>
      <c r="B319" s="8" t="s">
        <v>617</v>
      </c>
      <c r="C319" s="8" t="s">
        <v>14</v>
      </c>
      <c r="D319" s="23">
        <v>37</v>
      </c>
      <c r="E319" s="8" t="s">
        <v>1115</v>
      </c>
      <c r="F319" s="8" t="s">
        <v>1116</v>
      </c>
      <c r="G319" s="8" t="s">
        <v>602</v>
      </c>
      <c r="H319" s="8" t="s">
        <v>629</v>
      </c>
      <c r="I319" s="8" t="s">
        <v>603</v>
      </c>
      <c r="J319" s="8" t="s">
        <v>608</v>
      </c>
      <c r="K319" s="24">
        <v>46111</v>
      </c>
      <c r="L319" s="24">
        <v>45873</v>
      </c>
      <c r="M319" s="24">
        <v>46050</v>
      </c>
      <c r="N319" s="8" t="s">
        <v>903</v>
      </c>
      <c r="O319" s="24"/>
      <c r="P319" s="8"/>
    </row>
    <row r="320" spans="1:16" x14ac:dyDescent="0.2">
      <c r="A320" s="8" t="s">
        <v>1094</v>
      </c>
      <c r="B320" s="8" t="s">
        <v>1505</v>
      </c>
      <c r="C320" s="8" t="s">
        <v>473</v>
      </c>
      <c r="D320" s="23">
        <v>50</v>
      </c>
      <c r="E320" s="8" t="s">
        <v>473</v>
      </c>
      <c r="F320" s="8" t="s">
        <v>1506</v>
      </c>
      <c r="G320" s="8" t="s">
        <v>602</v>
      </c>
      <c r="H320" s="8" t="s">
        <v>613</v>
      </c>
      <c r="I320" s="8" t="s">
        <v>603</v>
      </c>
      <c r="J320" s="8" t="s">
        <v>608</v>
      </c>
      <c r="K320" s="24">
        <v>46086</v>
      </c>
      <c r="L320" s="24">
        <v>46066</v>
      </c>
      <c r="M320" s="24">
        <v>46066</v>
      </c>
      <c r="N320" s="8" t="s">
        <v>1351</v>
      </c>
      <c r="O320" s="24">
        <v>46266</v>
      </c>
      <c r="P320" s="8" t="s">
        <v>1352</v>
      </c>
    </row>
    <row r="321" spans="1:16" x14ac:dyDescent="0.2">
      <c r="A321" s="8" t="s">
        <v>1094</v>
      </c>
      <c r="B321" s="8" t="s">
        <v>1095</v>
      </c>
      <c r="C321" s="8" t="s">
        <v>473</v>
      </c>
      <c r="D321" s="23">
        <v>50</v>
      </c>
      <c r="E321" s="8" t="s">
        <v>473</v>
      </c>
      <c r="F321" s="8" t="s">
        <v>1096</v>
      </c>
      <c r="G321" s="8" t="s">
        <v>602</v>
      </c>
      <c r="H321" s="8" t="s">
        <v>1092</v>
      </c>
      <c r="I321" s="8" t="s">
        <v>603</v>
      </c>
      <c r="J321" s="8" t="s">
        <v>608</v>
      </c>
      <c r="K321" s="24">
        <v>46050</v>
      </c>
      <c r="L321" s="24">
        <v>45916</v>
      </c>
      <c r="M321" s="24">
        <v>46050</v>
      </c>
      <c r="N321" s="8" t="s">
        <v>681</v>
      </c>
      <c r="O321" s="24">
        <v>55043</v>
      </c>
      <c r="P321" s="8" t="s">
        <v>1392</v>
      </c>
    </row>
    <row r="322" spans="1:16" x14ac:dyDescent="0.2">
      <c r="A322" s="8" t="s">
        <v>1086</v>
      </c>
      <c r="B322" s="8" t="s">
        <v>1097</v>
      </c>
      <c r="C322" s="8" t="s">
        <v>579</v>
      </c>
      <c r="D322" s="23">
        <v>52</v>
      </c>
      <c r="E322" s="8" t="s">
        <v>1088</v>
      </c>
      <c r="F322" s="8" t="s">
        <v>1098</v>
      </c>
      <c r="G322" s="8" t="s">
        <v>602</v>
      </c>
      <c r="H322" s="8" t="s">
        <v>1062</v>
      </c>
      <c r="I322" s="8" t="s">
        <v>603</v>
      </c>
      <c r="J322" s="8" t="s">
        <v>608</v>
      </c>
      <c r="K322" s="24">
        <v>46002</v>
      </c>
      <c r="L322" s="24">
        <v>45947</v>
      </c>
      <c r="M322" s="24">
        <v>46002</v>
      </c>
      <c r="N322" s="8" t="s">
        <v>1090</v>
      </c>
      <c r="O322" s="24"/>
      <c r="P322" s="8"/>
    </row>
    <row r="323" spans="1:16" x14ac:dyDescent="0.2">
      <c r="A323" s="8" t="s">
        <v>1099</v>
      </c>
      <c r="B323" s="8" t="s">
        <v>617</v>
      </c>
      <c r="C323" s="8" t="s">
        <v>134</v>
      </c>
      <c r="D323" s="23">
        <v>53</v>
      </c>
      <c r="E323" s="8" t="s">
        <v>134</v>
      </c>
      <c r="F323" s="8" t="s">
        <v>1100</v>
      </c>
      <c r="G323" s="8" t="s">
        <v>602</v>
      </c>
      <c r="H323" s="8" t="s">
        <v>807</v>
      </c>
      <c r="I323" s="8" t="s">
        <v>603</v>
      </c>
      <c r="J323" s="8" t="s">
        <v>608</v>
      </c>
      <c r="K323" s="24">
        <v>46111</v>
      </c>
      <c r="L323" s="24">
        <v>45754</v>
      </c>
      <c r="M323" s="24">
        <v>45799</v>
      </c>
      <c r="N323" s="8" t="s">
        <v>1101</v>
      </c>
      <c r="O323" s="24"/>
      <c r="P323" s="8"/>
    </row>
    <row r="324" spans="1:16" x14ac:dyDescent="0.2">
      <c r="A324" s="8" t="s">
        <v>615</v>
      </c>
      <c r="B324" s="8" t="s">
        <v>617</v>
      </c>
      <c r="C324" s="8" t="s">
        <v>383</v>
      </c>
      <c r="D324" s="23">
        <v>58</v>
      </c>
      <c r="E324" s="8" t="s">
        <v>383</v>
      </c>
      <c r="F324" s="8" t="s">
        <v>1109</v>
      </c>
      <c r="G324" s="8" t="s">
        <v>602</v>
      </c>
      <c r="H324" s="8" t="s">
        <v>677</v>
      </c>
      <c r="I324" s="8" t="s">
        <v>603</v>
      </c>
      <c r="J324" s="8" t="s">
        <v>608</v>
      </c>
      <c r="K324" s="24">
        <v>46105</v>
      </c>
      <c r="L324" s="24">
        <v>45847</v>
      </c>
      <c r="M324" s="24">
        <v>46002</v>
      </c>
      <c r="N324" s="8" t="s">
        <v>618</v>
      </c>
      <c r="O324" s="24"/>
      <c r="P324" s="8"/>
    </row>
    <row r="325" spans="1:16" x14ac:dyDescent="0.2">
      <c r="A325" s="8" t="s">
        <v>1024</v>
      </c>
      <c r="B325" s="8" t="s">
        <v>617</v>
      </c>
      <c r="C325" s="8" t="s">
        <v>458</v>
      </c>
      <c r="D325" s="23">
        <v>59</v>
      </c>
      <c r="E325" s="8" t="s">
        <v>1025</v>
      </c>
      <c r="F325" s="8" t="s">
        <v>1105</v>
      </c>
      <c r="G325" s="8" t="s">
        <v>602</v>
      </c>
      <c r="H325" s="8" t="s">
        <v>940</v>
      </c>
      <c r="I325" s="8" t="s">
        <v>603</v>
      </c>
      <c r="J325" s="8" t="s">
        <v>608</v>
      </c>
      <c r="K325" s="24">
        <v>46100</v>
      </c>
      <c r="L325" s="24">
        <v>45847</v>
      </c>
      <c r="M325" s="24">
        <v>46002</v>
      </c>
      <c r="N325" s="8" t="s">
        <v>618</v>
      </c>
      <c r="O325" s="24"/>
      <c r="P325" s="8"/>
    </row>
    <row r="326" spans="1:16" x14ac:dyDescent="0.2">
      <c r="A326" s="8" t="s">
        <v>1266</v>
      </c>
      <c r="B326" s="8" t="s">
        <v>1267</v>
      </c>
      <c r="C326" s="8" t="s">
        <v>1126</v>
      </c>
      <c r="D326" s="23">
        <v>72</v>
      </c>
      <c r="E326" s="8" t="s">
        <v>1126</v>
      </c>
      <c r="F326" s="8" t="s">
        <v>1268</v>
      </c>
      <c r="G326" s="8" t="s">
        <v>602</v>
      </c>
      <c r="H326" s="8" t="s">
        <v>1269</v>
      </c>
      <c r="I326" s="8" t="s">
        <v>603</v>
      </c>
      <c r="J326" s="8" t="s">
        <v>608</v>
      </c>
      <c r="K326" s="24">
        <v>46037</v>
      </c>
      <c r="L326" s="24">
        <v>46037</v>
      </c>
      <c r="M326" s="24">
        <v>46037</v>
      </c>
      <c r="N326" s="8" t="s">
        <v>1270</v>
      </c>
      <c r="O326" s="24">
        <v>54961</v>
      </c>
      <c r="P326" s="8" t="s">
        <v>1507</v>
      </c>
    </row>
    <row r="327" spans="1:16" x14ac:dyDescent="0.2">
      <c r="A327" s="8" t="s">
        <v>1102</v>
      </c>
      <c r="B327" s="8" t="s">
        <v>1271</v>
      </c>
      <c r="C327" s="8" t="s">
        <v>578</v>
      </c>
      <c r="D327" s="23">
        <v>96</v>
      </c>
      <c r="E327" s="8" t="s">
        <v>1103</v>
      </c>
      <c r="F327" s="8" t="s">
        <v>1272</v>
      </c>
      <c r="G327" s="8" t="s">
        <v>602</v>
      </c>
      <c r="H327" s="8" t="s">
        <v>1093</v>
      </c>
      <c r="I327" s="8" t="s">
        <v>603</v>
      </c>
      <c r="J327" s="8" t="s">
        <v>608</v>
      </c>
      <c r="K327" s="24">
        <v>46050</v>
      </c>
      <c r="L327" s="24">
        <v>46048</v>
      </c>
      <c r="M327" s="24">
        <v>46050</v>
      </c>
      <c r="N327" s="8" t="s">
        <v>1273</v>
      </c>
      <c r="O327" s="24"/>
      <c r="P327" s="8"/>
    </row>
    <row r="328" spans="1:16" x14ac:dyDescent="0.2">
      <c r="A328" s="8" t="s">
        <v>1102</v>
      </c>
      <c r="B328" s="8" t="s">
        <v>1274</v>
      </c>
      <c r="C328" s="8" t="s">
        <v>578</v>
      </c>
      <c r="D328" s="23">
        <v>108</v>
      </c>
      <c r="E328" s="8" t="s">
        <v>1103</v>
      </c>
      <c r="F328" s="8" t="s">
        <v>1275</v>
      </c>
      <c r="G328" s="8" t="s">
        <v>602</v>
      </c>
      <c r="H328" s="8" t="s">
        <v>1117</v>
      </c>
      <c r="I328" s="8" t="s">
        <v>603</v>
      </c>
      <c r="J328" s="8" t="s">
        <v>608</v>
      </c>
      <c r="K328" s="24">
        <v>46050</v>
      </c>
      <c r="L328" s="24">
        <v>46048</v>
      </c>
      <c r="M328" s="24">
        <v>46049</v>
      </c>
      <c r="N328" s="8" t="s">
        <v>1273</v>
      </c>
      <c r="O328" s="24"/>
      <c r="P328" s="8"/>
    </row>
    <row r="329" spans="1:16" x14ac:dyDescent="0.2">
      <c r="A329" s="8" t="s">
        <v>1114</v>
      </c>
      <c r="B329" s="8" t="s">
        <v>617</v>
      </c>
      <c r="C329" s="8" t="s">
        <v>14</v>
      </c>
      <c r="D329" s="23">
        <v>162</v>
      </c>
      <c r="E329" s="8" t="s">
        <v>1115</v>
      </c>
      <c r="F329" s="8" t="s">
        <v>1120</v>
      </c>
      <c r="G329" s="8" t="s">
        <v>602</v>
      </c>
      <c r="H329" s="8" t="s">
        <v>1121</v>
      </c>
      <c r="I329" s="8" t="s">
        <v>603</v>
      </c>
      <c r="J329" s="8" t="s">
        <v>608</v>
      </c>
      <c r="K329" s="24">
        <v>46035</v>
      </c>
      <c r="L329" s="24">
        <v>45873</v>
      </c>
      <c r="M329" s="24">
        <v>45873</v>
      </c>
      <c r="N329" s="8" t="s">
        <v>903</v>
      </c>
      <c r="O329" s="24"/>
      <c r="P329" s="8"/>
    </row>
    <row r="334" spans="1:16" x14ac:dyDescent="0.2">
      <c r="D334" s="3"/>
    </row>
  </sheetData>
  <pageMargins left="0.75" right="0.75" top="1" bottom="1" header="0.5" footer="0.5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9998-64DD-4314-A3F6-7910C44CACB6}">
  <dimension ref="A1:AQ226"/>
  <sheetViews>
    <sheetView tabSelected="1" topLeftCell="D39" workbookViewId="0">
      <selection activeCell="P171" sqref="P171"/>
    </sheetView>
  </sheetViews>
  <sheetFormatPr baseColWidth="10" defaultRowHeight="12.75" x14ac:dyDescent="0.2"/>
  <cols>
    <col min="1" max="1" width="17.85546875" hidden="1" customWidth="1"/>
    <col min="2" max="2" width="25" hidden="1" customWidth="1"/>
    <col min="3" max="8" width="11.42578125" style="56"/>
    <col min="9" max="9" width="17.85546875" customWidth="1"/>
    <col min="10" max="10" width="27.5703125" bestFit="1" customWidth="1"/>
    <col min="11" max="11" width="2.7109375" customWidth="1"/>
    <col min="12" max="12" width="16.85546875" bestFit="1" customWidth="1"/>
    <col min="13" max="13" width="15" bestFit="1" customWidth="1"/>
    <col min="14" max="15" width="12.7109375" hidden="1" customWidth="1"/>
    <col min="16" max="16" width="69.85546875" customWidth="1"/>
    <col min="17" max="17" width="10.5703125" bestFit="1" customWidth="1"/>
    <col min="18" max="18" width="8.85546875" bestFit="1" customWidth="1"/>
    <col min="19" max="19" width="13.140625" bestFit="1" customWidth="1"/>
    <col min="20" max="20" width="17.140625" bestFit="1" customWidth="1"/>
    <col min="21" max="21" width="15.28515625" style="56" customWidth="1"/>
    <col min="22" max="22" width="19.5703125" style="56" customWidth="1"/>
    <col min="23" max="23" width="23.5703125" style="56" customWidth="1"/>
    <col min="24" max="24" width="16.85546875" style="56" customWidth="1"/>
    <col min="25" max="43" width="11.42578125" style="56"/>
  </cols>
  <sheetData>
    <row r="1" spans="1:20" x14ac:dyDescent="0.2">
      <c r="I1" s="57" t="s">
        <v>119</v>
      </c>
      <c r="J1" s="57"/>
      <c r="K1" s="5"/>
      <c r="L1" s="58" t="s">
        <v>120</v>
      </c>
      <c r="M1" s="58"/>
      <c r="N1" s="6"/>
      <c r="O1" s="4"/>
      <c r="P1" s="59" t="s">
        <v>124</v>
      </c>
      <c r="Q1" s="60" t="s">
        <v>123</v>
      </c>
      <c r="R1" s="60"/>
      <c r="S1" s="60"/>
      <c r="T1" s="60"/>
    </row>
    <row r="2" spans="1:20" x14ac:dyDescent="0.2">
      <c r="I2" s="57"/>
      <c r="J2" s="57"/>
      <c r="K2" s="5"/>
      <c r="L2" s="58"/>
      <c r="M2" s="58"/>
      <c r="N2" s="6"/>
      <c r="O2" s="4"/>
      <c r="P2" s="59"/>
      <c r="Q2" s="60"/>
      <c r="R2" s="60"/>
      <c r="S2" s="60"/>
      <c r="T2" s="60"/>
    </row>
    <row r="3" spans="1:20" x14ac:dyDescent="0.2">
      <c r="A3" s="1" t="s">
        <v>91</v>
      </c>
      <c r="B3" t="s">
        <v>93</v>
      </c>
      <c r="I3" s="21" t="s">
        <v>136</v>
      </c>
      <c r="J3" s="21" t="s">
        <v>96</v>
      </c>
      <c r="K3" s="5"/>
      <c r="L3" s="17" t="s">
        <v>94</v>
      </c>
      <c r="M3" s="17" t="s">
        <v>96</v>
      </c>
      <c r="N3" s="20" t="s">
        <v>117</v>
      </c>
      <c r="O3" s="20" t="s">
        <v>118</v>
      </c>
      <c r="P3" s="18" t="s">
        <v>122</v>
      </c>
      <c r="Q3" s="19" t="s">
        <v>121</v>
      </c>
      <c r="R3" s="19" t="s">
        <v>119</v>
      </c>
      <c r="S3" s="19" t="s">
        <v>126</v>
      </c>
      <c r="T3" s="19" t="s">
        <v>125</v>
      </c>
    </row>
    <row r="4" spans="1:20" ht="12.75" customHeight="1" x14ac:dyDescent="0.2">
      <c r="A4" s="2" t="s">
        <v>82</v>
      </c>
      <c r="B4" s="3">
        <v>14</v>
      </c>
      <c r="I4" s="5" t="s">
        <v>425</v>
      </c>
      <c r="J4" s="5">
        <v>16</v>
      </c>
      <c r="K4" s="5"/>
      <c r="L4" s="5" t="s">
        <v>425</v>
      </c>
      <c r="M4" s="5">
        <v>16</v>
      </c>
      <c r="N4" s="5"/>
      <c r="O4" s="5"/>
      <c r="P4" s="5"/>
      <c r="Q4" s="5">
        <f>VLOOKUP(I4,L:M,2,)</f>
        <v>16</v>
      </c>
      <c r="R4" s="5">
        <f>VLOOKUP(L4,I:J,2,)</f>
        <v>16</v>
      </c>
      <c r="S4" s="5" t="b">
        <f>Q4=R4</f>
        <v>1</v>
      </c>
      <c r="T4" s="5">
        <f>R4-Q4</f>
        <v>0</v>
      </c>
    </row>
    <row r="5" spans="1:20" ht="12.75" customHeight="1" x14ac:dyDescent="0.2">
      <c r="A5" s="2" t="s">
        <v>81</v>
      </c>
      <c r="B5" s="3">
        <v>9</v>
      </c>
      <c r="I5" s="5" t="s">
        <v>426</v>
      </c>
      <c r="J5" s="5">
        <v>16</v>
      </c>
      <c r="K5" s="5"/>
      <c r="L5" s="5" t="s">
        <v>426</v>
      </c>
      <c r="M5" s="5">
        <v>16</v>
      </c>
      <c r="N5" s="5"/>
      <c r="O5" s="5"/>
      <c r="P5" s="5"/>
      <c r="Q5" s="5">
        <f t="shared" ref="Q5:Q68" si="0">VLOOKUP(I5,L:M,2,)</f>
        <v>16</v>
      </c>
      <c r="R5" s="5">
        <f t="shared" ref="R5:R68" si="1">VLOOKUP(L5,I:J,2,)</f>
        <v>16</v>
      </c>
      <c r="S5" s="5" t="b">
        <f t="shared" ref="S5:S68" si="2">Q5=R5</f>
        <v>1</v>
      </c>
      <c r="T5" s="5">
        <f t="shared" ref="T5:T68" si="3">R5-Q5</f>
        <v>0</v>
      </c>
    </row>
    <row r="6" spans="1:20" ht="12.75" customHeight="1" x14ac:dyDescent="0.2">
      <c r="A6" s="2" t="s">
        <v>8</v>
      </c>
      <c r="B6" s="3">
        <v>190</v>
      </c>
      <c r="I6" s="5" t="s">
        <v>460</v>
      </c>
      <c r="J6" s="5">
        <v>40</v>
      </c>
      <c r="K6" s="5"/>
      <c r="L6" s="5" t="s">
        <v>460</v>
      </c>
      <c r="M6" s="5">
        <v>40</v>
      </c>
      <c r="N6" s="5"/>
      <c r="O6" s="5"/>
      <c r="P6" s="5"/>
      <c r="Q6" s="5">
        <f t="shared" si="0"/>
        <v>40</v>
      </c>
      <c r="R6" s="5">
        <f t="shared" si="1"/>
        <v>40</v>
      </c>
      <c r="S6" s="5" t="b">
        <f t="shared" si="2"/>
        <v>1</v>
      </c>
      <c r="T6" s="5">
        <f t="shared" si="3"/>
        <v>0</v>
      </c>
    </row>
    <row r="7" spans="1:20" ht="12.75" customHeight="1" x14ac:dyDescent="0.2">
      <c r="A7" s="2" t="s">
        <v>88</v>
      </c>
      <c r="B7" s="3">
        <v>26</v>
      </c>
      <c r="I7" s="5" t="s">
        <v>387</v>
      </c>
      <c r="J7" s="5">
        <v>25</v>
      </c>
      <c r="K7" s="5"/>
      <c r="L7" s="5" t="s">
        <v>387</v>
      </c>
      <c r="M7" s="5">
        <v>25</v>
      </c>
      <c r="N7" s="5"/>
      <c r="O7" s="5"/>
      <c r="P7" s="5"/>
      <c r="Q7" s="5">
        <f t="shared" si="0"/>
        <v>25</v>
      </c>
      <c r="R7" s="5">
        <f t="shared" si="1"/>
        <v>25</v>
      </c>
      <c r="S7" s="5" t="b">
        <f t="shared" si="2"/>
        <v>1</v>
      </c>
      <c r="T7" s="5">
        <f t="shared" si="3"/>
        <v>0</v>
      </c>
    </row>
    <row r="8" spans="1:20" ht="12.75" customHeight="1" x14ac:dyDescent="0.2">
      <c r="A8" s="2" t="s">
        <v>77</v>
      </c>
      <c r="B8" s="3">
        <v>7</v>
      </c>
      <c r="I8" s="5" t="s">
        <v>398</v>
      </c>
      <c r="J8" s="5">
        <v>50</v>
      </c>
      <c r="K8" s="5"/>
      <c r="L8" s="5" t="s">
        <v>398</v>
      </c>
      <c r="M8" s="5">
        <v>50</v>
      </c>
      <c r="N8" s="5"/>
      <c r="O8" s="5"/>
      <c r="P8" s="5"/>
      <c r="Q8" s="5">
        <f t="shared" si="0"/>
        <v>50</v>
      </c>
      <c r="R8" s="5">
        <f t="shared" si="1"/>
        <v>50</v>
      </c>
      <c r="S8" s="5" t="b">
        <f t="shared" si="2"/>
        <v>1</v>
      </c>
      <c r="T8" s="5">
        <f t="shared" si="3"/>
        <v>0</v>
      </c>
    </row>
    <row r="9" spans="1:20" ht="12.75" customHeight="1" x14ac:dyDescent="0.2">
      <c r="A9" s="2" t="s">
        <v>70</v>
      </c>
      <c r="B9" s="3">
        <v>84</v>
      </c>
      <c r="I9" s="5" t="s">
        <v>433</v>
      </c>
      <c r="J9" s="5">
        <v>20</v>
      </c>
      <c r="K9" s="5"/>
      <c r="L9" s="5" t="s">
        <v>433</v>
      </c>
      <c r="M9" s="5">
        <v>20</v>
      </c>
      <c r="N9" s="5"/>
      <c r="O9" s="5"/>
      <c r="P9" s="5"/>
      <c r="Q9" s="5">
        <f t="shared" si="0"/>
        <v>20</v>
      </c>
      <c r="R9" s="5">
        <f t="shared" si="1"/>
        <v>20</v>
      </c>
      <c r="S9" s="5" t="b">
        <f t="shared" si="2"/>
        <v>1</v>
      </c>
      <c r="T9" s="5">
        <f t="shared" si="3"/>
        <v>0</v>
      </c>
    </row>
    <row r="10" spans="1:20" ht="12.75" customHeight="1" x14ac:dyDescent="0.2">
      <c r="A10" s="2" t="s">
        <v>51</v>
      </c>
      <c r="B10" s="3">
        <v>29</v>
      </c>
      <c r="I10" s="5" t="s">
        <v>454</v>
      </c>
      <c r="J10" s="5">
        <v>30</v>
      </c>
      <c r="K10" s="5"/>
      <c r="L10" s="5" t="s">
        <v>454</v>
      </c>
      <c r="M10" s="5">
        <v>30</v>
      </c>
      <c r="N10" s="5"/>
      <c r="O10" s="5"/>
      <c r="P10" s="5"/>
      <c r="Q10" s="5">
        <f t="shared" si="0"/>
        <v>30</v>
      </c>
      <c r="R10" s="5">
        <f t="shared" si="1"/>
        <v>30</v>
      </c>
      <c r="S10" s="5" t="b">
        <f t="shared" si="2"/>
        <v>1</v>
      </c>
      <c r="T10" s="5">
        <f t="shared" si="3"/>
        <v>0</v>
      </c>
    </row>
    <row r="11" spans="1:20" ht="12.75" customHeight="1" x14ac:dyDescent="0.2">
      <c r="A11" s="2" t="s">
        <v>9</v>
      </c>
      <c r="B11" s="3">
        <v>32</v>
      </c>
      <c r="I11" s="5" t="s">
        <v>469</v>
      </c>
      <c r="J11" s="5">
        <v>50</v>
      </c>
      <c r="K11" s="5"/>
      <c r="L11" s="5" t="s">
        <v>469</v>
      </c>
      <c r="M11" s="5">
        <v>50</v>
      </c>
      <c r="N11" s="5"/>
      <c r="O11" s="5"/>
      <c r="Q11" s="5">
        <f t="shared" si="0"/>
        <v>50</v>
      </c>
      <c r="R11" s="5">
        <f t="shared" si="1"/>
        <v>50</v>
      </c>
      <c r="S11" s="5" t="b">
        <f t="shared" si="2"/>
        <v>1</v>
      </c>
      <c r="T11" s="5">
        <f t="shared" si="3"/>
        <v>0</v>
      </c>
    </row>
    <row r="12" spans="1:20" ht="12.75" customHeight="1" x14ac:dyDescent="0.2">
      <c r="A12" s="2" t="s">
        <v>89</v>
      </c>
      <c r="B12" s="3">
        <v>57</v>
      </c>
      <c r="I12" s="5" t="s">
        <v>434</v>
      </c>
      <c r="J12" s="5">
        <v>20</v>
      </c>
      <c r="K12" s="5"/>
      <c r="L12" s="5" t="s">
        <v>434</v>
      </c>
      <c r="M12" s="5">
        <v>20</v>
      </c>
      <c r="N12" s="5"/>
      <c r="O12" s="5"/>
      <c r="P12" s="5"/>
      <c r="Q12" s="5">
        <f t="shared" si="0"/>
        <v>20</v>
      </c>
      <c r="R12" s="5">
        <f t="shared" si="1"/>
        <v>20</v>
      </c>
      <c r="S12" s="5" t="b">
        <f t="shared" si="2"/>
        <v>1</v>
      </c>
      <c r="T12" s="5">
        <f t="shared" si="3"/>
        <v>0</v>
      </c>
    </row>
    <row r="13" spans="1:20" x14ac:dyDescent="0.2">
      <c r="A13" s="2" t="s">
        <v>19</v>
      </c>
      <c r="B13" s="3">
        <v>1</v>
      </c>
      <c r="I13" s="5" t="s">
        <v>446</v>
      </c>
      <c r="J13" s="5">
        <v>50</v>
      </c>
      <c r="K13" s="5"/>
      <c r="L13" s="5" t="s">
        <v>446</v>
      </c>
      <c r="M13" s="5">
        <v>50</v>
      </c>
      <c r="N13" s="5"/>
      <c r="O13" s="5"/>
      <c r="P13" s="5"/>
      <c r="Q13" s="5">
        <f t="shared" si="0"/>
        <v>50</v>
      </c>
      <c r="R13" s="5">
        <f t="shared" si="1"/>
        <v>50</v>
      </c>
      <c r="S13" s="5" t="b">
        <f t="shared" si="2"/>
        <v>1</v>
      </c>
      <c r="T13" s="5">
        <f t="shared" si="3"/>
        <v>0</v>
      </c>
    </row>
    <row r="14" spans="1:20" ht="12.75" customHeight="1" x14ac:dyDescent="0.2">
      <c r="A14" s="2" t="s">
        <v>34</v>
      </c>
      <c r="B14" s="3">
        <v>1</v>
      </c>
      <c r="I14" s="5" t="s">
        <v>473</v>
      </c>
      <c r="J14" s="5">
        <v>100</v>
      </c>
      <c r="K14" s="5"/>
      <c r="L14" s="5" t="s">
        <v>473</v>
      </c>
      <c r="M14" s="5">
        <v>100</v>
      </c>
      <c r="N14" s="5"/>
      <c r="O14" s="5"/>
      <c r="P14" s="5"/>
      <c r="Q14" s="5">
        <f t="shared" si="0"/>
        <v>100</v>
      </c>
      <c r="R14" s="5">
        <f t="shared" si="1"/>
        <v>100</v>
      </c>
      <c r="S14" s="5" t="b">
        <f t="shared" si="2"/>
        <v>1</v>
      </c>
      <c r="T14" s="5">
        <f t="shared" si="3"/>
        <v>0</v>
      </c>
    </row>
    <row r="15" spans="1:20" ht="12.75" customHeight="1" x14ac:dyDescent="0.2">
      <c r="A15" s="2" t="s">
        <v>20</v>
      </c>
      <c r="B15" s="3">
        <v>1</v>
      </c>
      <c r="I15" s="5" t="s">
        <v>450</v>
      </c>
      <c r="J15" s="5">
        <v>24</v>
      </c>
      <c r="K15" s="5"/>
      <c r="L15" s="5" t="s">
        <v>450</v>
      </c>
      <c r="M15" s="5">
        <v>24</v>
      </c>
      <c r="N15" s="5"/>
      <c r="O15" s="5"/>
      <c r="P15" s="5"/>
      <c r="Q15" s="5">
        <f t="shared" si="0"/>
        <v>24</v>
      </c>
      <c r="R15" s="5">
        <f t="shared" si="1"/>
        <v>24</v>
      </c>
      <c r="S15" s="5" t="b">
        <f t="shared" si="2"/>
        <v>1</v>
      </c>
      <c r="T15" s="5">
        <f t="shared" si="3"/>
        <v>0</v>
      </c>
    </row>
    <row r="16" spans="1:20" ht="12.75" customHeight="1" x14ac:dyDescent="0.2">
      <c r="A16" s="2" t="s">
        <v>35</v>
      </c>
      <c r="B16" s="3">
        <v>1</v>
      </c>
      <c r="I16" s="5" t="s">
        <v>451</v>
      </c>
      <c r="J16" s="5">
        <v>22</v>
      </c>
      <c r="K16" s="5"/>
      <c r="L16" s="5" t="s">
        <v>451</v>
      </c>
      <c r="M16" s="5">
        <v>22</v>
      </c>
      <c r="N16" s="5"/>
      <c r="O16" s="5"/>
      <c r="P16" s="5"/>
      <c r="Q16" s="5">
        <f t="shared" si="0"/>
        <v>22</v>
      </c>
      <c r="R16" s="5">
        <f t="shared" si="1"/>
        <v>22</v>
      </c>
      <c r="S16" s="5" t="b">
        <f t="shared" si="2"/>
        <v>1</v>
      </c>
      <c r="T16" s="5">
        <f t="shared" si="3"/>
        <v>0</v>
      </c>
    </row>
    <row r="17" spans="1:20" ht="12.75" customHeight="1" x14ac:dyDescent="0.2">
      <c r="A17" s="2" t="s">
        <v>30</v>
      </c>
      <c r="B17" s="3">
        <v>1</v>
      </c>
      <c r="I17" s="5" t="s">
        <v>461</v>
      </c>
      <c r="J17" s="5">
        <v>40</v>
      </c>
      <c r="K17" s="5"/>
      <c r="L17" s="5" t="s">
        <v>461</v>
      </c>
      <c r="M17" s="5">
        <v>40</v>
      </c>
      <c r="N17" s="5"/>
      <c r="O17" s="5"/>
      <c r="P17" s="5"/>
      <c r="Q17" s="5">
        <f t="shared" si="0"/>
        <v>40</v>
      </c>
      <c r="R17" s="5">
        <f t="shared" si="1"/>
        <v>40</v>
      </c>
      <c r="S17" s="5" t="b">
        <f t="shared" si="2"/>
        <v>1</v>
      </c>
      <c r="T17" s="5">
        <f t="shared" si="3"/>
        <v>0</v>
      </c>
    </row>
    <row r="18" spans="1:20" ht="12.75" customHeight="1" x14ac:dyDescent="0.2">
      <c r="A18" s="2" t="s">
        <v>11</v>
      </c>
      <c r="B18" s="3">
        <v>1</v>
      </c>
      <c r="I18" s="5" t="s">
        <v>455</v>
      </c>
      <c r="J18" s="5">
        <v>30</v>
      </c>
      <c r="K18" s="5"/>
      <c r="L18" s="5" t="s">
        <v>455</v>
      </c>
      <c r="M18" s="5">
        <v>30</v>
      </c>
      <c r="N18" s="5"/>
      <c r="O18" s="5"/>
      <c r="P18" s="5"/>
      <c r="Q18" s="5">
        <f t="shared" si="0"/>
        <v>30</v>
      </c>
      <c r="R18" s="5">
        <f t="shared" si="1"/>
        <v>30</v>
      </c>
      <c r="S18" s="5" t="b">
        <f t="shared" si="2"/>
        <v>1</v>
      </c>
      <c r="T18" s="5">
        <f t="shared" si="3"/>
        <v>0</v>
      </c>
    </row>
    <row r="19" spans="1:20" ht="12.75" customHeight="1" x14ac:dyDescent="0.2">
      <c r="A19" s="2" t="s">
        <v>31</v>
      </c>
      <c r="B19" s="3">
        <v>1</v>
      </c>
      <c r="I19" s="5" t="s">
        <v>453</v>
      </c>
      <c r="J19" s="5">
        <v>30</v>
      </c>
      <c r="K19" s="5"/>
      <c r="L19" s="5" t="s">
        <v>453</v>
      </c>
      <c r="M19" s="5">
        <v>30</v>
      </c>
      <c r="N19" s="5"/>
      <c r="O19" s="5"/>
      <c r="P19" s="5"/>
      <c r="Q19" s="5">
        <f t="shared" si="0"/>
        <v>30</v>
      </c>
      <c r="R19" s="5">
        <f t="shared" si="1"/>
        <v>30</v>
      </c>
      <c r="S19" s="5" t="b">
        <f t="shared" si="2"/>
        <v>1</v>
      </c>
      <c r="T19" s="5">
        <f t="shared" si="3"/>
        <v>0</v>
      </c>
    </row>
    <row r="20" spans="1:20" ht="15" customHeight="1" x14ac:dyDescent="0.2">
      <c r="A20" s="2" t="s">
        <v>13</v>
      </c>
      <c r="B20" s="3">
        <v>1</v>
      </c>
      <c r="I20" s="5" t="s">
        <v>435</v>
      </c>
      <c r="J20" s="5">
        <v>20</v>
      </c>
      <c r="K20" s="5"/>
      <c r="L20" s="5" t="s">
        <v>435</v>
      </c>
      <c r="M20" s="5">
        <v>20</v>
      </c>
      <c r="N20" s="5"/>
      <c r="O20" s="5"/>
      <c r="P20" s="5"/>
      <c r="Q20" s="5">
        <f t="shared" si="0"/>
        <v>20</v>
      </c>
      <c r="R20" s="5">
        <f t="shared" si="1"/>
        <v>20</v>
      </c>
      <c r="S20" s="5" t="b">
        <f t="shared" si="2"/>
        <v>1</v>
      </c>
      <c r="T20" s="5">
        <f t="shared" si="3"/>
        <v>0</v>
      </c>
    </row>
    <row r="21" spans="1:20" ht="12.75" customHeight="1" x14ac:dyDescent="0.2">
      <c r="A21" s="2" t="s">
        <v>32</v>
      </c>
      <c r="B21" s="3">
        <v>1</v>
      </c>
      <c r="I21" s="5" t="s">
        <v>465</v>
      </c>
      <c r="J21" s="5">
        <v>40</v>
      </c>
      <c r="K21" s="5"/>
      <c r="L21" s="5" t="s">
        <v>465</v>
      </c>
      <c r="M21" s="5">
        <v>40</v>
      </c>
      <c r="N21" s="5"/>
      <c r="O21" s="5"/>
      <c r="P21" s="5"/>
      <c r="Q21" s="5">
        <f t="shared" si="0"/>
        <v>40</v>
      </c>
      <c r="R21" s="5">
        <f t="shared" si="1"/>
        <v>40</v>
      </c>
      <c r="S21" s="5" t="b">
        <f t="shared" si="2"/>
        <v>1</v>
      </c>
      <c r="T21" s="5">
        <f t="shared" si="3"/>
        <v>0</v>
      </c>
    </row>
    <row r="22" spans="1:20" x14ac:dyDescent="0.2">
      <c r="A22" s="2" t="s">
        <v>12</v>
      </c>
      <c r="B22" s="3">
        <v>1</v>
      </c>
      <c r="I22" s="5" t="s">
        <v>438</v>
      </c>
      <c r="J22" s="5">
        <v>20</v>
      </c>
      <c r="K22" s="5"/>
      <c r="L22" s="5" t="s">
        <v>438</v>
      </c>
      <c r="M22" s="5">
        <v>20</v>
      </c>
      <c r="N22" s="5"/>
      <c r="O22" s="5"/>
      <c r="P22" s="5"/>
      <c r="Q22" s="5">
        <f t="shared" si="0"/>
        <v>20</v>
      </c>
      <c r="R22" s="5">
        <f t="shared" si="1"/>
        <v>20</v>
      </c>
      <c r="S22" s="5" t="b">
        <f t="shared" si="2"/>
        <v>1</v>
      </c>
      <c r="T22" s="5">
        <f t="shared" si="3"/>
        <v>0</v>
      </c>
    </row>
    <row r="23" spans="1:20" ht="12.75" customHeight="1" x14ac:dyDescent="0.2">
      <c r="A23" s="2" t="s">
        <v>33</v>
      </c>
      <c r="B23" s="3">
        <v>1</v>
      </c>
      <c r="I23" s="5" t="s">
        <v>462</v>
      </c>
      <c r="J23" s="5">
        <v>40</v>
      </c>
      <c r="K23" s="5"/>
      <c r="L23" s="5" t="s">
        <v>462</v>
      </c>
      <c r="M23" s="5">
        <v>40</v>
      </c>
      <c r="N23" s="5"/>
      <c r="O23" s="5"/>
      <c r="P23" s="5"/>
      <c r="Q23" s="5">
        <f t="shared" si="0"/>
        <v>40</v>
      </c>
      <c r="R23" s="5">
        <f t="shared" si="1"/>
        <v>40</v>
      </c>
      <c r="S23" s="5" t="b">
        <f t="shared" si="2"/>
        <v>1</v>
      </c>
      <c r="T23" s="5">
        <f t="shared" si="3"/>
        <v>0</v>
      </c>
    </row>
    <row r="24" spans="1:20" ht="12.75" customHeight="1" x14ac:dyDescent="0.2">
      <c r="A24" s="2" t="s">
        <v>0</v>
      </c>
      <c r="B24" s="3">
        <v>160</v>
      </c>
      <c r="I24" s="5" t="s">
        <v>396</v>
      </c>
      <c r="J24" s="5">
        <v>60</v>
      </c>
      <c r="K24" s="5"/>
      <c r="L24" s="5" t="s">
        <v>396</v>
      </c>
      <c r="M24" s="5">
        <v>60</v>
      </c>
      <c r="N24" s="5"/>
      <c r="O24" s="5"/>
      <c r="P24" s="5"/>
      <c r="Q24" s="5">
        <f t="shared" si="0"/>
        <v>60</v>
      </c>
      <c r="R24" s="5">
        <f t="shared" si="1"/>
        <v>60</v>
      </c>
      <c r="S24" s="5" t="b">
        <f t="shared" si="2"/>
        <v>1</v>
      </c>
      <c r="T24" s="5">
        <f t="shared" si="3"/>
        <v>0</v>
      </c>
    </row>
    <row r="25" spans="1:20" ht="12.75" customHeight="1" x14ac:dyDescent="0.2">
      <c r="A25" s="2" t="s">
        <v>1</v>
      </c>
      <c r="B25" s="3">
        <v>100</v>
      </c>
      <c r="I25" s="5" t="s">
        <v>439</v>
      </c>
      <c r="J25" s="5">
        <v>20</v>
      </c>
      <c r="K25" s="5"/>
      <c r="L25" s="5" t="s">
        <v>439</v>
      </c>
      <c r="M25" s="5">
        <v>20</v>
      </c>
      <c r="N25" s="5"/>
      <c r="O25" s="5"/>
      <c r="P25" s="5"/>
      <c r="Q25" s="5">
        <f t="shared" si="0"/>
        <v>20</v>
      </c>
      <c r="R25" s="5">
        <f t="shared" si="1"/>
        <v>20</v>
      </c>
      <c r="S25" s="5" t="b">
        <f t="shared" si="2"/>
        <v>1</v>
      </c>
      <c r="T25" s="5">
        <f t="shared" si="3"/>
        <v>0</v>
      </c>
    </row>
    <row r="26" spans="1:20" ht="12.75" customHeight="1" x14ac:dyDescent="0.2">
      <c r="A26" s="2" t="s">
        <v>79</v>
      </c>
      <c r="B26" s="3">
        <v>18</v>
      </c>
      <c r="I26" s="5" t="s">
        <v>472</v>
      </c>
      <c r="J26" s="5">
        <v>60</v>
      </c>
      <c r="K26" s="5"/>
      <c r="L26" s="5" t="s">
        <v>472</v>
      </c>
      <c r="M26" s="5">
        <v>60</v>
      </c>
      <c r="N26" s="5"/>
      <c r="O26" s="5"/>
      <c r="P26" s="5"/>
      <c r="Q26" s="5">
        <f t="shared" si="0"/>
        <v>60</v>
      </c>
      <c r="R26" s="5">
        <f t="shared" si="1"/>
        <v>60</v>
      </c>
      <c r="S26" s="5" t="b">
        <f t="shared" si="2"/>
        <v>1</v>
      </c>
      <c r="T26" s="5">
        <f t="shared" si="3"/>
        <v>0</v>
      </c>
    </row>
    <row r="27" spans="1:20" ht="12.75" customHeight="1" x14ac:dyDescent="0.2">
      <c r="A27" s="2" t="s">
        <v>40</v>
      </c>
      <c r="B27" s="3">
        <v>1</v>
      </c>
      <c r="I27" s="5" t="s">
        <v>452</v>
      </c>
      <c r="J27" s="5">
        <v>24</v>
      </c>
      <c r="K27" s="5"/>
      <c r="L27" s="5" t="s">
        <v>452</v>
      </c>
      <c r="M27" s="5">
        <v>24</v>
      </c>
      <c r="N27" s="5"/>
      <c r="O27" s="5"/>
      <c r="P27" s="5"/>
      <c r="Q27" s="5">
        <f t="shared" si="0"/>
        <v>24</v>
      </c>
      <c r="R27" s="5">
        <f t="shared" si="1"/>
        <v>24</v>
      </c>
      <c r="S27" s="5" t="b">
        <f t="shared" si="2"/>
        <v>1</v>
      </c>
      <c r="T27" s="5">
        <f t="shared" si="3"/>
        <v>0</v>
      </c>
    </row>
    <row r="28" spans="1:20" ht="12.75" customHeight="1" x14ac:dyDescent="0.2">
      <c r="A28" s="2" t="s">
        <v>87</v>
      </c>
      <c r="B28" s="3">
        <v>21</v>
      </c>
      <c r="I28" s="5" t="s">
        <v>457</v>
      </c>
      <c r="J28" s="5">
        <v>30</v>
      </c>
      <c r="K28" s="5"/>
      <c r="L28" s="5" t="s">
        <v>457</v>
      </c>
      <c r="M28" s="5">
        <v>30</v>
      </c>
      <c r="N28" s="5"/>
      <c r="O28" s="5"/>
      <c r="P28" s="5"/>
      <c r="Q28" s="5">
        <f t="shared" si="0"/>
        <v>30</v>
      </c>
      <c r="R28" s="5">
        <f t="shared" si="1"/>
        <v>30</v>
      </c>
      <c r="S28" s="5" t="b">
        <f t="shared" si="2"/>
        <v>1</v>
      </c>
      <c r="T28" s="5">
        <f t="shared" si="3"/>
        <v>0</v>
      </c>
    </row>
    <row r="29" spans="1:20" ht="12.75" customHeight="1" x14ac:dyDescent="0.2">
      <c r="A29" s="2" t="s">
        <v>83</v>
      </c>
      <c r="B29" s="3">
        <v>18</v>
      </c>
      <c r="I29" s="5" t="s">
        <v>1152</v>
      </c>
      <c r="J29" s="5">
        <v>1</v>
      </c>
      <c r="K29" s="5"/>
      <c r="L29" s="5" t="s">
        <v>1152</v>
      </c>
      <c r="M29" s="5">
        <v>1</v>
      </c>
      <c r="N29" s="5"/>
      <c r="O29" s="5"/>
      <c r="P29" s="5"/>
      <c r="Q29" s="5">
        <f t="shared" si="0"/>
        <v>1</v>
      </c>
      <c r="R29" s="5">
        <f t="shared" si="1"/>
        <v>1</v>
      </c>
      <c r="S29" s="5" t="b">
        <f t="shared" si="2"/>
        <v>1</v>
      </c>
      <c r="T29" s="5">
        <f t="shared" si="3"/>
        <v>0</v>
      </c>
    </row>
    <row r="30" spans="1:20" ht="12.75" customHeight="1" x14ac:dyDescent="0.2">
      <c r="A30" s="2" t="s">
        <v>84</v>
      </c>
      <c r="B30" s="3">
        <v>18</v>
      </c>
      <c r="I30" s="5" t="s">
        <v>403</v>
      </c>
      <c r="J30" s="5">
        <v>5</v>
      </c>
      <c r="K30" s="5"/>
      <c r="L30" s="5" t="s">
        <v>403</v>
      </c>
      <c r="M30" s="5">
        <v>5</v>
      </c>
      <c r="N30" s="5"/>
      <c r="O30" s="5"/>
      <c r="P30" s="5"/>
      <c r="Q30" s="5">
        <f t="shared" si="0"/>
        <v>5</v>
      </c>
      <c r="R30" s="5">
        <f t="shared" si="1"/>
        <v>5</v>
      </c>
      <c r="S30" s="5" t="b">
        <f t="shared" si="2"/>
        <v>1</v>
      </c>
      <c r="T30" s="5">
        <f t="shared" si="3"/>
        <v>0</v>
      </c>
    </row>
    <row r="31" spans="1:20" ht="12.75" customHeight="1" x14ac:dyDescent="0.2">
      <c r="A31" s="2" t="s">
        <v>85</v>
      </c>
      <c r="B31" s="3">
        <v>18</v>
      </c>
      <c r="I31" s="5" t="s">
        <v>404</v>
      </c>
      <c r="J31" s="5">
        <v>5</v>
      </c>
      <c r="K31" s="5"/>
      <c r="L31" s="5" t="s">
        <v>404</v>
      </c>
      <c r="M31" s="5">
        <v>5</v>
      </c>
      <c r="N31" s="5"/>
      <c r="O31" s="5"/>
      <c r="P31" s="5"/>
      <c r="Q31" s="5">
        <f t="shared" si="0"/>
        <v>5</v>
      </c>
      <c r="R31" s="5">
        <f t="shared" si="1"/>
        <v>5</v>
      </c>
      <c r="S31" s="5" t="b">
        <f t="shared" si="2"/>
        <v>1</v>
      </c>
      <c r="T31" s="5">
        <f t="shared" si="3"/>
        <v>0</v>
      </c>
    </row>
    <row r="32" spans="1:20" ht="12.75" customHeight="1" x14ac:dyDescent="0.2">
      <c r="A32" s="2" t="s">
        <v>39</v>
      </c>
      <c r="B32" s="3">
        <v>1</v>
      </c>
      <c r="I32" s="5" t="s">
        <v>405</v>
      </c>
      <c r="J32" s="5">
        <v>5</v>
      </c>
      <c r="K32" s="5"/>
      <c r="L32" s="5" t="s">
        <v>405</v>
      </c>
      <c r="M32" s="5">
        <v>5</v>
      </c>
      <c r="N32" s="5"/>
      <c r="O32" s="5"/>
      <c r="P32" s="5"/>
      <c r="Q32" s="5">
        <f t="shared" si="0"/>
        <v>5</v>
      </c>
      <c r="R32" s="5">
        <f t="shared" si="1"/>
        <v>5</v>
      </c>
      <c r="S32" s="5" t="b">
        <f t="shared" si="2"/>
        <v>1</v>
      </c>
      <c r="T32" s="5">
        <f t="shared" si="3"/>
        <v>0</v>
      </c>
    </row>
    <row r="33" spans="1:20" ht="12.75" customHeight="1" x14ac:dyDescent="0.2">
      <c r="A33" s="2" t="s">
        <v>36</v>
      </c>
      <c r="B33" s="3">
        <v>3</v>
      </c>
      <c r="I33" s="5" t="s">
        <v>406</v>
      </c>
      <c r="J33" s="5">
        <v>5</v>
      </c>
      <c r="K33" s="5"/>
      <c r="L33" s="5" t="s">
        <v>406</v>
      </c>
      <c r="M33" s="5">
        <v>5</v>
      </c>
      <c r="N33" s="5"/>
      <c r="O33" s="5"/>
      <c r="P33" s="5"/>
      <c r="Q33" s="5">
        <f t="shared" si="0"/>
        <v>5</v>
      </c>
      <c r="R33" s="5">
        <f t="shared" si="1"/>
        <v>5</v>
      </c>
      <c r="S33" s="5" t="b">
        <f t="shared" si="2"/>
        <v>1</v>
      </c>
      <c r="T33" s="5">
        <f t="shared" si="3"/>
        <v>0</v>
      </c>
    </row>
    <row r="34" spans="1:20" ht="12.75" customHeight="1" x14ac:dyDescent="0.2">
      <c r="A34" s="2" t="s">
        <v>38</v>
      </c>
      <c r="B34" s="3">
        <v>2</v>
      </c>
      <c r="I34" s="5" t="s">
        <v>407</v>
      </c>
      <c r="J34" s="5">
        <v>5</v>
      </c>
      <c r="K34" s="5"/>
      <c r="L34" s="5" t="s">
        <v>407</v>
      </c>
      <c r="M34" s="5">
        <v>5</v>
      </c>
      <c r="N34" s="5"/>
      <c r="O34" s="5"/>
      <c r="P34" s="5"/>
      <c r="Q34" s="5">
        <f t="shared" si="0"/>
        <v>5</v>
      </c>
      <c r="R34" s="5">
        <f t="shared" si="1"/>
        <v>5</v>
      </c>
      <c r="S34" s="5" t="b">
        <f t="shared" si="2"/>
        <v>1</v>
      </c>
      <c r="T34" s="5">
        <f t="shared" si="3"/>
        <v>0</v>
      </c>
    </row>
    <row r="35" spans="1:20" ht="12.75" customHeight="1" x14ac:dyDescent="0.2">
      <c r="A35" s="2" t="s">
        <v>37</v>
      </c>
      <c r="B35" s="3">
        <v>3</v>
      </c>
      <c r="I35" s="5" t="s">
        <v>408</v>
      </c>
      <c r="J35" s="5">
        <v>5</v>
      </c>
      <c r="K35" s="5"/>
      <c r="L35" s="5" t="s">
        <v>408</v>
      </c>
      <c r="M35" s="5">
        <v>5</v>
      </c>
      <c r="N35" s="5"/>
      <c r="O35" s="5"/>
      <c r="P35" s="5"/>
      <c r="Q35" s="5">
        <f t="shared" si="0"/>
        <v>5</v>
      </c>
      <c r="R35" s="5">
        <f t="shared" si="1"/>
        <v>5</v>
      </c>
      <c r="S35" s="5" t="b">
        <f t="shared" si="2"/>
        <v>1</v>
      </c>
      <c r="T35" s="5">
        <f t="shared" si="3"/>
        <v>0</v>
      </c>
    </row>
    <row r="36" spans="1:20" ht="12.75" customHeight="1" x14ac:dyDescent="0.2">
      <c r="A36" s="2" t="s">
        <v>71</v>
      </c>
      <c r="B36" s="3">
        <v>4</v>
      </c>
      <c r="I36" s="5" t="s">
        <v>409</v>
      </c>
      <c r="J36" s="5">
        <v>5</v>
      </c>
      <c r="K36" s="5"/>
      <c r="L36" s="5" t="s">
        <v>409</v>
      </c>
      <c r="M36" s="5">
        <v>5</v>
      </c>
      <c r="N36" s="5"/>
      <c r="O36" s="5"/>
      <c r="P36" s="5"/>
      <c r="Q36" s="5">
        <f t="shared" si="0"/>
        <v>5</v>
      </c>
      <c r="R36" s="5">
        <f t="shared" si="1"/>
        <v>5</v>
      </c>
      <c r="S36" s="5" t="b">
        <f t="shared" si="2"/>
        <v>1</v>
      </c>
      <c r="T36" s="5">
        <f t="shared" si="3"/>
        <v>0</v>
      </c>
    </row>
    <row r="37" spans="1:20" ht="12.75" customHeight="1" x14ac:dyDescent="0.2">
      <c r="A37" s="2" t="s">
        <v>80</v>
      </c>
      <c r="B37" s="3">
        <v>50</v>
      </c>
      <c r="I37" s="5" t="s">
        <v>410</v>
      </c>
      <c r="J37" s="5">
        <v>3</v>
      </c>
      <c r="K37" s="5"/>
      <c r="L37" s="5" t="s">
        <v>410</v>
      </c>
      <c r="M37" s="5">
        <v>3</v>
      </c>
      <c r="N37" s="5"/>
      <c r="O37" s="5"/>
      <c r="P37" s="5"/>
      <c r="Q37" s="5">
        <f t="shared" si="0"/>
        <v>3</v>
      </c>
      <c r="R37" s="5">
        <f t="shared" si="1"/>
        <v>3</v>
      </c>
      <c r="S37" s="5" t="b">
        <f t="shared" si="2"/>
        <v>1</v>
      </c>
      <c r="T37" s="5">
        <f t="shared" si="3"/>
        <v>0</v>
      </c>
    </row>
    <row r="38" spans="1:20" ht="12.75" customHeight="1" x14ac:dyDescent="0.2">
      <c r="A38" s="2" t="s">
        <v>73</v>
      </c>
      <c r="B38" s="3">
        <v>4</v>
      </c>
      <c r="I38" s="5" t="s">
        <v>411</v>
      </c>
      <c r="J38" s="5">
        <v>5</v>
      </c>
      <c r="K38" s="5"/>
      <c r="L38" s="5" t="s">
        <v>411</v>
      </c>
      <c r="M38" s="5">
        <v>5</v>
      </c>
      <c r="N38" s="5"/>
      <c r="O38" s="5"/>
      <c r="P38" s="5"/>
      <c r="Q38" s="5">
        <f t="shared" si="0"/>
        <v>5</v>
      </c>
      <c r="R38" s="5">
        <f t="shared" si="1"/>
        <v>5</v>
      </c>
      <c r="S38" s="5" t="b">
        <f t="shared" si="2"/>
        <v>1</v>
      </c>
      <c r="T38" s="5">
        <f t="shared" si="3"/>
        <v>0</v>
      </c>
    </row>
    <row r="39" spans="1:20" ht="12.75" customHeight="1" x14ac:dyDescent="0.2">
      <c r="A39" s="2" t="s">
        <v>66</v>
      </c>
      <c r="B39" s="3">
        <v>3</v>
      </c>
      <c r="I39" s="5" t="s">
        <v>412</v>
      </c>
      <c r="J39" s="5">
        <v>5</v>
      </c>
      <c r="K39" s="5"/>
      <c r="L39" s="5" t="s">
        <v>412</v>
      </c>
      <c r="M39" s="5">
        <v>5</v>
      </c>
      <c r="N39" s="5"/>
      <c r="O39" s="5"/>
      <c r="P39" s="5"/>
      <c r="Q39" s="5">
        <f t="shared" si="0"/>
        <v>5</v>
      </c>
      <c r="R39" s="5">
        <f t="shared" si="1"/>
        <v>5</v>
      </c>
      <c r="S39" s="5" t="b">
        <f t="shared" si="2"/>
        <v>1</v>
      </c>
      <c r="T39" s="5">
        <f t="shared" si="3"/>
        <v>0</v>
      </c>
    </row>
    <row r="40" spans="1:20" x14ac:dyDescent="0.2">
      <c r="A40" s="2" t="s">
        <v>62</v>
      </c>
      <c r="B40" s="3">
        <v>3</v>
      </c>
      <c r="I40" s="5" t="s">
        <v>413</v>
      </c>
      <c r="J40" s="5">
        <v>5</v>
      </c>
      <c r="K40" s="5"/>
      <c r="L40" s="5" t="s">
        <v>413</v>
      </c>
      <c r="M40" s="5">
        <v>5</v>
      </c>
      <c r="N40" s="5"/>
      <c r="O40" s="5"/>
      <c r="P40" s="5"/>
      <c r="Q40" s="5">
        <f t="shared" si="0"/>
        <v>5</v>
      </c>
      <c r="R40" s="5">
        <f t="shared" si="1"/>
        <v>5</v>
      </c>
      <c r="S40" s="5" t="b">
        <f t="shared" si="2"/>
        <v>1</v>
      </c>
      <c r="T40" s="5">
        <f t="shared" si="3"/>
        <v>0</v>
      </c>
    </row>
    <row r="41" spans="1:20" ht="12.75" customHeight="1" x14ac:dyDescent="0.2">
      <c r="A41" s="2" t="s">
        <v>67</v>
      </c>
      <c r="B41" s="3">
        <v>3</v>
      </c>
      <c r="I41" s="5" t="s">
        <v>414</v>
      </c>
      <c r="J41" s="5">
        <v>2</v>
      </c>
      <c r="K41" s="5"/>
      <c r="L41" s="5" t="s">
        <v>414</v>
      </c>
      <c r="M41" s="5">
        <v>2</v>
      </c>
      <c r="N41" s="5"/>
      <c r="O41" s="5"/>
      <c r="P41" s="5"/>
      <c r="Q41" s="5">
        <f t="shared" si="0"/>
        <v>2</v>
      </c>
      <c r="R41" s="5">
        <f t="shared" si="1"/>
        <v>2</v>
      </c>
      <c r="S41" s="5" t="b">
        <f t="shared" si="2"/>
        <v>1</v>
      </c>
      <c r="T41" s="5">
        <f t="shared" si="3"/>
        <v>0</v>
      </c>
    </row>
    <row r="42" spans="1:20" ht="12.75" customHeight="1" x14ac:dyDescent="0.2">
      <c r="A42" s="2" t="s">
        <v>57</v>
      </c>
      <c r="B42" s="3">
        <v>2</v>
      </c>
      <c r="I42" s="5" t="s">
        <v>415</v>
      </c>
      <c r="J42" s="5">
        <v>5</v>
      </c>
      <c r="K42" s="5"/>
      <c r="L42" s="5" t="s">
        <v>415</v>
      </c>
      <c r="M42" s="5">
        <v>5</v>
      </c>
      <c r="N42" s="5"/>
      <c r="O42" s="5"/>
      <c r="P42" s="5"/>
      <c r="Q42" s="5">
        <f t="shared" si="0"/>
        <v>5</v>
      </c>
      <c r="R42" s="5">
        <f t="shared" si="1"/>
        <v>5</v>
      </c>
      <c r="S42" s="5" t="b">
        <f t="shared" si="2"/>
        <v>1</v>
      </c>
      <c r="T42" s="5">
        <f t="shared" si="3"/>
        <v>0</v>
      </c>
    </row>
    <row r="43" spans="1:20" ht="12.75" customHeight="1" x14ac:dyDescent="0.2">
      <c r="A43" s="2" t="s">
        <v>2</v>
      </c>
      <c r="B43" s="3">
        <v>40</v>
      </c>
      <c r="I43" s="5" t="s">
        <v>416</v>
      </c>
      <c r="J43" s="5">
        <v>5</v>
      </c>
      <c r="K43" s="5"/>
      <c r="L43" s="5" t="s">
        <v>416</v>
      </c>
      <c r="M43" s="5">
        <v>5</v>
      </c>
      <c r="N43" s="5"/>
      <c r="O43" s="5"/>
      <c r="P43" s="5"/>
      <c r="Q43" s="5">
        <f t="shared" si="0"/>
        <v>5</v>
      </c>
      <c r="R43" s="5">
        <f t="shared" si="1"/>
        <v>5</v>
      </c>
      <c r="S43" s="5" t="b">
        <f t="shared" si="2"/>
        <v>1</v>
      </c>
      <c r="T43" s="5">
        <f t="shared" si="3"/>
        <v>0</v>
      </c>
    </row>
    <row r="44" spans="1:20" ht="12.75" customHeight="1" x14ac:dyDescent="0.2">
      <c r="A44" s="2" t="s">
        <v>3</v>
      </c>
      <c r="B44" s="3">
        <v>13</v>
      </c>
      <c r="I44" s="5" t="s">
        <v>417</v>
      </c>
      <c r="J44" s="5">
        <v>5</v>
      </c>
      <c r="K44" s="5"/>
      <c r="L44" s="5" t="s">
        <v>417</v>
      </c>
      <c r="M44" s="5">
        <v>5</v>
      </c>
      <c r="N44" s="5"/>
      <c r="O44" s="5"/>
      <c r="P44" s="5"/>
      <c r="Q44" s="5">
        <f t="shared" si="0"/>
        <v>5</v>
      </c>
      <c r="R44" s="5">
        <f t="shared" si="1"/>
        <v>5</v>
      </c>
      <c r="S44" s="5" t="b">
        <f t="shared" si="2"/>
        <v>1</v>
      </c>
      <c r="T44" s="5">
        <f t="shared" si="3"/>
        <v>0</v>
      </c>
    </row>
    <row r="45" spans="1:20" ht="12.75" customHeight="1" x14ac:dyDescent="0.2">
      <c r="A45" s="2" t="s">
        <v>58</v>
      </c>
      <c r="B45" s="3">
        <v>2</v>
      </c>
      <c r="I45" s="5" t="s">
        <v>418</v>
      </c>
      <c r="J45" s="5">
        <v>5</v>
      </c>
      <c r="K45" s="5"/>
      <c r="L45" s="5" t="s">
        <v>418</v>
      </c>
      <c r="M45" s="5">
        <v>5</v>
      </c>
      <c r="N45" s="5"/>
      <c r="O45" s="5"/>
      <c r="P45" s="5"/>
      <c r="Q45" s="5">
        <f t="shared" si="0"/>
        <v>5</v>
      </c>
      <c r="R45" s="5">
        <f t="shared" si="1"/>
        <v>5</v>
      </c>
      <c r="S45" s="5" t="b">
        <f t="shared" si="2"/>
        <v>1</v>
      </c>
      <c r="T45" s="5">
        <f t="shared" si="3"/>
        <v>0</v>
      </c>
    </row>
    <row r="46" spans="1:20" x14ac:dyDescent="0.2">
      <c r="A46" s="2" t="s">
        <v>21</v>
      </c>
      <c r="B46" s="3">
        <v>1</v>
      </c>
      <c r="I46" s="5" t="s">
        <v>419</v>
      </c>
      <c r="J46" s="5">
        <v>5</v>
      </c>
      <c r="K46" s="5"/>
      <c r="L46" s="5" t="s">
        <v>419</v>
      </c>
      <c r="M46" s="5">
        <v>5</v>
      </c>
      <c r="N46" s="5"/>
      <c r="O46" s="5"/>
      <c r="P46" s="5"/>
      <c r="Q46" s="5">
        <f t="shared" si="0"/>
        <v>5</v>
      </c>
      <c r="R46" s="5">
        <f t="shared" si="1"/>
        <v>5</v>
      </c>
      <c r="S46" s="5" t="b">
        <f t="shared" si="2"/>
        <v>1</v>
      </c>
      <c r="T46" s="5">
        <f t="shared" si="3"/>
        <v>0</v>
      </c>
    </row>
    <row r="47" spans="1:20" ht="12.75" customHeight="1" x14ac:dyDescent="0.2">
      <c r="A47" s="2" t="s">
        <v>22</v>
      </c>
      <c r="B47" s="3">
        <v>1</v>
      </c>
      <c r="I47" s="5" t="s">
        <v>420</v>
      </c>
      <c r="J47" s="5">
        <v>5</v>
      </c>
      <c r="K47" s="5"/>
      <c r="L47" s="5" t="s">
        <v>420</v>
      </c>
      <c r="M47" s="20">
        <v>5</v>
      </c>
      <c r="N47" s="5"/>
      <c r="O47" s="5"/>
      <c r="P47" s="5"/>
      <c r="Q47" s="5">
        <f t="shared" si="0"/>
        <v>5</v>
      </c>
      <c r="R47" s="5">
        <f t="shared" si="1"/>
        <v>5</v>
      </c>
      <c r="S47" s="5" t="b">
        <f t="shared" si="2"/>
        <v>1</v>
      </c>
      <c r="T47" s="5">
        <f t="shared" si="3"/>
        <v>0</v>
      </c>
    </row>
    <row r="48" spans="1:20" x14ac:dyDescent="0.2">
      <c r="A48" s="2" t="s">
        <v>23</v>
      </c>
      <c r="B48" s="3">
        <v>1</v>
      </c>
      <c r="I48" s="5" t="s">
        <v>421</v>
      </c>
      <c r="J48" s="5">
        <v>5</v>
      </c>
      <c r="K48" s="5"/>
      <c r="L48" s="5" t="s">
        <v>421</v>
      </c>
      <c r="M48" s="5">
        <v>5</v>
      </c>
      <c r="N48" s="5"/>
      <c r="O48" s="5"/>
      <c r="P48" s="5"/>
      <c r="Q48" s="5">
        <f t="shared" si="0"/>
        <v>5</v>
      </c>
      <c r="R48" s="5">
        <f t="shared" si="1"/>
        <v>5</v>
      </c>
      <c r="S48" s="5" t="b">
        <f t="shared" si="2"/>
        <v>1</v>
      </c>
      <c r="T48" s="5">
        <f t="shared" si="3"/>
        <v>0</v>
      </c>
    </row>
    <row r="49" spans="1:20" ht="12.75" customHeight="1" x14ac:dyDescent="0.2">
      <c r="A49" s="2" t="s">
        <v>24</v>
      </c>
      <c r="B49" s="3">
        <v>1</v>
      </c>
      <c r="I49" s="5" t="s">
        <v>427</v>
      </c>
      <c r="J49" s="5">
        <v>16</v>
      </c>
      <c r="K49" s="5"/>
      <c r="L49" s="5" t="s">
        <v>427</v>
      </c>
      <c r="M49" s="5">
        <v>16</v>
      </c>
      <c r="N49" s="5"/>
      <c r="O49" s="5"/>
      <c r="P49" s="5"/>
      <c r="Q49" s="5">
        <f t="shared" si="0"/>
        <v>16</v>
      </c>
      <c r="R49" s="5">
        <f t="shared" si="1"/>
        <v>16</v>
      </c>
      <c r="S49" s="5" t="b">
        <f t="shared" si="2"/>
        <v>1</v>
      </c>
      <c r="T49" s="5">
        <f t="shared" si="3"/>
        <v>0</v>
      </c>
    </row>
    <row r="50" spans="1:20" ht="12.75" customHeight="1" x14ac:dyDescent="0.2">
      <c r="A50" s="2" t="s">
        <v>4</v>
      </c>
      <c r="B50" s="3">
        <v>33</v>
      </c>
      <c r="I50" s="5" t="s">
        <v>424</v>
      </c>
      <c r="J50" s="5">
        <v>16</v>
      </c>
      <c r="K50" s="5"/>
      <c r="L50" s="5" t="s">
        <v>424</v>
      </c>
      <c r="M50" s="5">
        <v>16</v>
      </c>
      <c r="N50" s="5"/>
      <c r="O50" s="5"/>
      <c r="P50" s="5"/>
      <c r="Q50" s="5">
        <f t="shared" si="0"/>
        <v>16</v>
      </c>
      <c r="R50" s="5">
        <f t="shared" si="1"/>
        <v>16</v>
      </c>
      <c r="S50" s="5" t="b">
        <f t="shared" si="2"/>
        <v>1</v>
      </c>
      <c r="T50" s="5">
        <f t="shared" si="3"/>
        <v>0</v>
      </c>
    </row>
    <row r="51" spans="1:20" ht="12.75" customHeight="1" x14ac:dyDescent="0.2">
      <c r="A51" s="2" t="s">
        <v>52</v>
      </c>
      <c r="B51" s="3">
        <v>2</v>
      </c>
      <c r="I51" s="5" t="s">
        <v>1293</v>
      </c>
      <c r="J51" s="5">
        <v>1</v>
      </c>
      <c r="K51" s="5"/>
      <c r="L51" s="5" t="s">
        <v>1293</v>
      </c>
      <c r="M51" s="5">
        <v>1</v>
      </c>
      <c r="N51" s="5"/>
      <c r="O51" s="5"/>
      <c r="P51" s="5"/>
      <c r="Q51" s="5">
        <f t="shared" si="0"/>
        <v>1</v>
      </c>
      <c r="R51" s="5">
        <f t="shared" si="1"/>
        <v>1</v>
      </c>
      <c r="S51" s="5" t="b">
        <f t="shared" si="2"/>
        <v>1</v>
      </c>
      <c r="T51" s="5">
        <f t="shared" si="3"/>
        <v>0</v>
      </c>
    </row>
    <row r="52" spans="1:20" ht="12.75" customHeight="1" x14ac:dyDescent="0.2">
      <c r="A52" s="2" t="s">
        <v>18</v>
      </c>
      <c r="B52" s="3">
        <v>1</v>
      </c>
      <c r="I52" s="5" t="s">
        <v>471</v>
      </c>
      <c r="J52" s="5">
        <v>59</v>
      </c>
      <c r="K52" s="5"/>
      <c r="L52" s="5" t="s">
        <v>471</v>
      </c>
      <c r="M52" s="5">
        <v>59</v>
      </c>
      <c r="N52" s="5"/>
      <c r="O52" s="5"/>
      <c r="P52" s="5"/>
      <c r="Q52" s="5">
        <f t="shared" si="0"/>
        <v>59</v>
      </c>
      <c r="R52" s="5">
        <f t="shared" si="1"/>
        <v>59</v>
      </c>
      <c r="S52" s="5" t="b">
        <f t="shared" si="2"/>
        <v>1</v>
      </c>
      <c r="T52" s="5">
        <f t="shared" si="3"/>
        <v>0</v>
      </c>
    </row>
    <row r="53" spans="1:20" ht="12.75" customHeight="1" x14ac:dyDescent="0.2">
      <c r="A53" s="2" t="s">
        <v>54</v>
      </c>
      <c r="B53" s="3">
        <v>2</v>
      </c>
      <c r="I53" s="5" t="s">
        <v>436</v>
      </c>
      <c r="J53" s="5">
        <v>40</v>
      </c>
      <c r="K53" s="5"/>
      <c r="L53" s="5" t="s">
        <v>436</v>
      </c>
      <c r="M53" s="5">
        <v>40</v>
      </c>
      <c r="N53" s="5"/>
      <c r="O53" s="5"/>
      <c r="P53" s="5"/>
      <c r="Q53" s="5">
        <f t="shared" si="0"/>
        <v>40</v>
      </c>
      <c r="R53" s="5">
        <f t="shared" si="1"/>
        <v>40</v>
      </c>
      <c r="S53" s="5" t="b">
        <f t="shared" si="2"/>
        <v>1</v>
      </c>
      <c r="T53" s="5">
        <f t="shared" si="3"/>
        <v>0</v>
      </c>
    </row>
    <row r="54" spans="1:20" ht="12.75" customHeight="1" x14ac:dyDescent="0.2">
      <c r="A54" s="2" t="s">
        <v>55</v>
      </c>
      <c r="B54" s="3">
        <v>2</v>
      </c>
      <c r="I54" s="5" t="s">
        <v>428</v>
      </c>
      <c r="J54" s="5">
        <v>14</v>
      </c>
      <c r="K54" s="5"/>
      <c r="L54" s="5" t="s">
        <v>428</v>
      </c>
      <c r="M54" s="5">
        <v>14</v>
      </c>
      <c r="N54" s="5"/>
      <c r="O54" s="5"/>
      <c r="P54" s="5"/>
      <c r="Q54" s="5">
        <f t="shared" si="0"/>
        <v>14</v>
      </c>
      <c r="R54" s="5">
        <f t="shared" si="1"/>
        <v>14</v>
      </c>
      <c r="S54" s="5" t="b">
        <f t="shared" si="2"/>
        <v>1</v>
      </c>
      <c r="T54" s="5">
        <f t="shared" si="3"/>
        <v>0</v>
      </c>
    </row>
    <row r="55" spans="1:20" ht="12.75" customHeight="1" x14ac:dyDescent="0.2">
      <c r="A55" s="2" t="s">
        <v>5</v>
      </c>
      <c r="B55" s="3">
        <v>3</v>
      </c>
      <c r="I55" s="5" t="s">
        <v>429</v>
      </c>
      <c r="J55" s="5">
        <v>16</v>
      </c>
      <c r="K55" s="5"/>
      <c r="L55" s="5" t="s">
        <v>429</v>
      </c>
      <c r="M55" s="5">
        <v>16</v>
      </c>
      <c r="N55" s="5"/>
      <c r="O55" s="5"/>
      <c r="P55" s="5"/>
      <c r="Q55" s="5">
        <f t="shared" si="0"/>
        <v>16</v>
      </c>
      <c r="R55" s="5">
        <f t="shared" si="1"/>
        <v>16</v>
      </c>
      <c r="S55" s="5" t="b">
        <f t="shared" si="2"/>
        <v>1</v>
      </c>
      <c r="T55" s="5">
        <f t="shared" si="3"/>
        <v>0</v>
      </c>
    </row>
    <row r="56" spans="1:20" ht="12.75" customHeight="1" x14ac:dyDescent="0.2">
      <c r="A56" s="2" t="s">
        <v>41</v>
      </c>
      <c r="B56" s="3">
        <v>1</v>
      </c>
      <c r="I56" s="5" t="s">
        <v>463</v>
      </c>
      <c r="J56" s="5">
        <v>40</v>
      </c>
      <c r="K56" s="5"/>
      <c r="L56" s="5" t="s">
        <v>463</v>
      </c>
      <c r="M56" s="5">
        <v>40</v>
      </c>
      <c r="N56" s="5"/>
      <c r="O56" s="5"/>
      <c r="P56" s="5"/>
      <c r="Q56" s="5">
        <f t="shared" si="0"/>
        <v>40</v>
      </c>
      <c r="R56" s="5">
        <f t="shared" si="1"/>
        <v>40</v>
      </c>
      <c r="S56" s="5" t="b">
        <f t="shared" si="2"/>
        <v>1</v>
      </c>
      <c r="T56" s="5">
        <f t="shared" si="3"/>
        <v>0</v>
      </c>
    </row>
    <row r="57" spans="1:20" ht="12.75" customHeight="1" x14ac:dyDescent="0.2">
      <c r="A57" s="2" t="s">
        <v>25</v>
      </c>
      <c r="B57" s="3">
        <v>1</v>
      </c>
      <c r="I57" s="5" t="s">
        <v>437</v>
      </c>
      <c r="J57" s="5">
        <v>20</v>
      </c>
      <c r="K57" s="5"/>
      <c r="L57" s="5" t="s">
        <v>437</v>
      </c>
      <c r="M57" s="5">
        <v>20</v>
      </c>
      <c r="N57" s="5"/>
      <c r="O57" s="5"/>
      <c r="P57" s="5"/>
      <c r="Q57" s="5">
        <f t="shared" si="0"/>
        <v>20</v>
      </c>
      <c r="R57" s="5">
        <f t="shared" si="1"/>
        <v>20</v>
      </c>
      <c r="S57" s="5" t="b">
        <f t="shared" si="2"/>
        <v>1</v>
      </c>
      <c r="T57" s="5">
        <f t="shared" si="3"/>
        <v>0</v>
      </c>
    </row>
    <row r="58" spans="1:20" ht="12.75" customHeight="1" x14ac:dyDescent="0.2">
      <c r="A58" s="2" t="s">
        <v>14</v>
      </c>
      <c r="B58" s="3">
        <v>50</v>
      </c>
      <c r="I58" s="5" t="s">
        <v>447</v>
      </c>
      <c r="J58" s="5">
        <v>20</v>
      </c>
      <c r="K58" s="5"/>
      <c r="L58" s="5" t="s">
        <v>447</v>
      </c>
      <c r="M58" s="5">
        <v>20</v>
      </c>
      <c r="N58" s="5"/>
      <c r="O58" s="5"/>
      <c r="P58" s="5"/>
      <c r="Q58" s="5">
        <f t="shared" si="0"/>
        <v>20</v>
      </c>
      <c r="R58" s="5">
        <f t="shared" si="1"/>
        <v>20</v>
      </c>
      <c r="S58" s="5" t="b">
        <f t="shared" si="2"/>
        <v>1</v>
      </c>
      <c r="T58" s="5">
        <f t="shared" si="3"/>
        <v>0</v>
      </c>
    </row>
    <row r="59" spans="1:20" ht="12.75" customHeight="1" x14ac:dyDescent="0.2">
      <c r="A59" s="2" t="s">
        <v>61</v>
      </c>
      <c r="B59" s="3">
        <v>10</v>
      </c>
      <c r="I59" s="5" t="s">
        <v>422</v>
      </c>
      <c r="J59" s="5">
        <v>11</v>
      </c>
      <c r="K59" s="5"/>
      <c r="L59" s="5" t="s">
        <v>422</v>
      </c>
      <c r="M59" s="5">
        <v>11</v>
      </c>
      <c r="N59" s="5"/>
      <c r="O59" s="5"/>
      <c r="P59" s="5"/>
      <c r="Q59" s="5">
        <f t="shared" si="0"/>
        <v>11</v>
      </c>
      <c r="R59" s="5">
        <f t="shared" si="1"/>
        <v>11</v>
      </c>
      <c r="S59" s="5" t="b">
        <f t="shared" si="2"/>
        <v>1</v>
      </c>
      <c r="T59" s="5">
        <f t="shared" si="3"/>
        <v>0</v>
      </c>
    </row>
    <row r="60" spans="1:20" ht="12.75" customHeight="1" x14ac:dyDescent="0.2">
      <c r="A60" s="2" t="s">
        <v>16</v>
      </c>
      <c r="B60" s="3">
        <v>1</v>
      </c>
      <c r="I60" s="5" t="s">
        <v>440</v>
      </c>
      <c r="J60" s="5">
        <v>20</v>
      </c>
      <c r="K60" s="5"/>
      <c r="L60" s="5" t="s">
        <v>440</v>
      </c>
      <c r="M60" s="5">
        <v>20</v>
      </c>
      <c r="N60" s="5"/>
      <c r="O60" s="5"/>
      <c r="P60" s="5"/>
      <c r="Q60" s="5">
        <f t="shared" si="0"/>
        <v>20</v>
      </c>
      <c r="R60" s="5">
        <f t="shared" si="1"/>
        <v>20</v>
      </c>
      <c r="S60" s="5" t="b">
        <f t="shared" si="2"/>
        <v>1</v>
      </c>
      <c r="T60" s="5">
        <f t="shared" si="3"/>
        <v>0</v>
      </c>
    </row>
    <row r="61" spans="1:20" ht="12.75" customHeight="1" x14ac:dyDescent="0.2">
      <c r="A61" s="2" t="s">
        <v>29</v>
      </c>
      <c r="B61" s="3">
        <v>1</v>
      </c>
      <c r="I61" s="5" t="s">
        <v>430</v>
      </c>
      <c r="J61" s="5">
        <v>16</v>
      </c>
      <c r="K61" s="5"/>
      <c r="L61" s="5" t="s">
        <v>430</v>
      </c>
      <c r="M61" s="5">
        <v>16</v>
      </c>
      <c r="N61" s="5"/>
      <c r="O61" s="5"/>
      <c r="P61" s="5"/>
      <c r="Q61" s="5">
        <f t="shared" si="0"/>
        <v>16</v>
      </c>
      <c r="R61" s="5">
        <f t="shared" si="1"/>
        <v>16</v>
      </c>
      <c r="S61" s="5" t="b">
        <f t="shared" si="2"/>
        <v>1</v>
      </c>
      <c r="T61" s="5">
        <f t="shared" si="3"/>
        <v>0</v>
      </c>
    </row>
    <row r="62" spans="1:20" ht="12.75" customHeight="1" x14ac:dyDescent="0.2">
      <c r="A62" s="2" t="s">
        <v>28</v>
      </c>
      <c r="B62" s="3">
        <v>3</v>
      </c>
      <c r="I62" s="5" t="s">
        <v>399</v>
      </c>
      <c r="J62" s="5">
        <v>10</v>
      </c>
      <c r="K62" s="5"/>
      <c r="L62" s="5" t="s">
        <v>399</v>
      </c>
      <c r="M62" s="5">
        <v>10</v>
      </c>
      <c r="N62" s="5"/>
      <c r="O62" s="5"/>
      <c r="P62" s="5"/>
      <c r="Q62" s="5">
        <f t="shared" si="0"/>
        <v>10</v>
      </c>
      <c r="R62" s="5">
        <f t="shared" si="1"/>
        <v>10</v>
      </c>
      <c r="S62" s="5" t="b">
        <f t="shared" si="2"/>
        <v>1</v>
      </c>
      <c r="T62" s="5">
        <f t="shared" si="3"/>
        <v>0</v>
      </c>
    </row>
    <row r="63" spans="1:20" ht="12.75" customHeight="1" x14ac:dyDescent="0.2">
      <c r="A63" s="2" t="s">
        <v>76</v>
      </c>
      <c r="B63" s="3">
        <v>6</v>
      </c>
      <c r="I63" s="20" t="s">
        <v>397</v>
      </c>
      <c r="J63" s="5">
        <v>10</v>
      </c>
      <c r="K63" s="5"/>
      <c r="L63" s="5" t="s">
        <v>397</v>
      </c>
      <c r="M63" s="5">
        <v>10</v>
      </c>
      <c r="N63" s="5"/>
      <c r="O63" s="5"/>
      <c r="P63" s="5"/>
      <c r="Q63" s="5">
        <f t="shared" si="0"/>
        <v>10</v>
      </c>
      <c r="R63" s="5">
        <f t="shared" si="1"/>
        <v>10</v>
      </c>
      <c r="S63" s="5" t="b">
        <f t="shared" si="2"/>
        <v>1</v>
      </c>
      <c r="T63" s="5">
        <f t="shared" si="3"/>
        <v>0</v>
      </c>
    </row>
    <row r="64" spans="1:20" x14ac:dyDescent="0.2">
      <c r="A64" s="2" t="s">
        <v>75</v>
      </c>
      <c r="B64" s="3">
        <v>9</v>
      </c>
      <c r="I64" s="5" t="s">
        <v>394</v>
      </c>
      <c r="J64" s="5">
        <v>8</v>
      </c>
      <c r="K64" s="5"/>
      <c r="L64" s="5" t="s">
        <v>394</v>
      </c>
      <c r="M64" s="5">
        <v>8</v>
      </c>
      <c r="N64" s="5"/>
      <c r="O64" s="5"/>
      <c r="P64" s="5"/>
      <c r="Q64" s="5">
        <f t="shared" si="0"/>
        <v>8</v>
      </c>
      <c r="R64" s="5">
        <f t="shared" si="1"/>
        <v>8</v>
      </c>
      <c r="S64" s="5" t="b">
        <f t="shared" si="2"/>
        <v>1</v>
      </c>
      <c r="T64" s="5">
        <f t="shared" si="3"/>
        <v>0</v>
      </c>
    </row>
    <row r="65" spans="1:20" x14ac:dyDescent="0.2">
      <c r="A65" s="2" t="s">
        <v>7</v>
      </c>
      <c r="B65" s="3">
        <v>1</v>
      </c>
      <c r="I65" s="5" t="s">
        <v>467</v>
      </c>
      <c r="J65" s="5">
        <v>37</v>
      </c>
      <c r="K65" s="5"/>
      <c r="L65" s="5" t="s">
        <v>467</v>
      </c>
      <c r="M65" s="5">
        <v>37</v>
      </c>
      <c r="N65" s="5"/>
      <c r="O65" s="5"/>
      <c r="P65" s="5"/>
      <c r="Q65" s="5">
        <f t="shared" si="0"/>
        <v>37</v>
      </c>
      <c r="R65" s="5">
        <f t="shared" si="1"/>
        <v>37</v>
      </c>
      <c r="S65" s="5" t="b">
        <f t="shared" si="2"/>
        <v>1</v>
      </c>
      <c r="T65" s="5">
        <f t="shared" si="3"/>
        <v>0</v>
      </c>
    </row>
    <row r="66" spans="1:20" ht="12.75" customHeight="1" x14ac:dyDescent="0.2">
      <c r="A66" s="2" t="s">
        <v>90</v>
      </c>
      <c r="B66" s="3">
        <v>1</v>
      </c>
      <c r="I66" s="5" t="s">
        <v>448</v>
      </c>
      <c r="J66" s="5">
        <v>19</v>
      </c>
      <c r="K66" s="5"/>
      <c r="L66" s="5" t="s">
        <v>448</v>
      </c>
      <c r="M66" s="5">
        <v>19</v>
      </c>
      <c r="N66" s="5"/>
      <c r="O66" s="5"/>
      <c r="P66" s="5"/>
      <c r="Q66" s="5">
        <f t="shared" si="0"/>
        <v>19</v>
      </c>
      <c r="R66" s="5">
        <f t="shared" si="1"/>
        <v>19</v>
      </c>
      <c r="S66" s="5" t="b">
        <f t="shared" si="2"/>
        <v>1</v>
      </c>
      <c r="T66" s="5">
        <f t="shared" si="3"/>
        <v>0</v>
      </c>
    </row>
    <row r="67" spans="1:20" ht="12.75" customHeight="1" x14ac:dyDescent="0.2">
      <c r="A67" s="2" t="s">
        <v>50</v>
      </c>
      <c r="B67" s="3">
        <v>2</v>
      </c>
      <c r="I67" s="5" t="s">
        <v>400</v>
      </c>
      <c r="J67" s="5">
        <v>10</v>
      </c>
      <c r="K67" s="5"/>
      <c r="L67" s="5" t="s">
        <v>400</v>
      </c>
      <c r="M67" s="5">
        <v>10</v>
      </c>
      <c r="N67" s="5"/>
      <c r="O67" s="5"/>
      <c r="P67" s="5"/>
      <c r="Q67" s="5">
        <f t="shared" si="0"/>
        <v>10</v>
      </c>
      <c r="R67" s="5">
        <f t="shared" si="1"/>
        <v>10</v>
      </c>
      <c r="S67" s="5" t="b">
        <f t="shared" si="2"/>
        <v>1</v>
      </c>
      <c r="T67" s="5">
        <f t="shared" si="3"/>
        <v>0</v>
      </c>
    </row>
    <row r="68" spans="1:20" ht="12.75" customHeight="1" x14ac:dyDescent="0.2">
      <c r="A68" s="2" t="s">
        <v>42</v>
      </c>
      <c r="B68" s="3">
        <v>1</v>
      </c>
      <c r="I68" s="5" t="s">
        <v>392</v>
      </c>
      <c r="J68" s="5">
        <v>6</v>
      </c>
      <c r="K68" s="5"/>
      <c r="L68" s="5" t="s">
        <v>392</v>
      </c>
      <c r="M68" s="5">
        <v>6</v>
      </c>
      <c r="N68" s="5"/>
      <c r="O68" s="5"/>
      <c r="P68" s="5"/>
      <c r="Q68" s="5">
        <f t="shared" si="0"/>
        <v>6</v>
      </c>
      <c r="R68" s="5">
        <f t="shared" si="1"/>
        <v>6</v>
      </c>
      <c r="S68" s="5" t="b">
        <f t="shared" si="2"/>
        <v>1</v>
      </c>
      <c r="T68" s="5">
        <f t="shared" si="3"/>
        <v>0</v>
      </c>
    </row>
    <row r="69" spans="1:20" ht="12.75" customHeight="1" x14ac:dyDescent="0.2">
      <c r="A69" s="2" t="s">
        <v>46</v>
      </c>
      <c r="B69" s="3">
        <v>1</v>
      </c>
      <c r="I69" s="5" t="s">
        <v>401</v>
      </c>
      <c r="J69" s="5">
        <v>10</v>
      </c>
      <c r="K69" s="5"/>
      <c r="L69" s="5" t="s">
        <v>401</v>
      </c>
      <c r="M69" s="5">
        <v>10</v>
      </c>
      <c r="N69" s="5"/>
      <c r="O69" s="5"/>
      <c r="P69" s="5"/>
      <c r="Q69" s="5">
        <f t="shared" ref="Q69:Q132" si="4">VLOOKUP(I69,L:M,2,)</f>
        <v>10</v>
      </c>
      <c r="R69" s="5">
        <f t="shared" ref="R69:R132" si="5">VLOOKUP(L69,I:J,2,)</f>
        <v>10</v>
      </c>
      <c r="S69" s="5" t="b">
        <f t="shared" ref="S69:S132" si="6">Q69=R69</f>
        <v>1</v>
      </c>
      <c r="T69" s="5">
        <f t="shared" ref="T69:T132" si="7">R69-Q69</f>
        <v>0</v>
      </c>
    </row>
    <row r="70" spans="1:20" ht="12.75" customHeight="1" x14ac:dyDescent="0.2">
      <c r="A70" s="2" t="s">
        <v>17</v>
      </c>
      <c r="B70" s="3">
        <v>1</v>
      </c>
      <c r="I70" s="5" t="s">
        <v>449</v>
      </c>
      <c r="J70" s="5">
        <v>20</v>
      </c>
      <c r="K70" s="5"/>
      <c r="L70" s="5" t="s">
        <v>449</v>
      </c>
      <c r="M70" s="5">
        <v>20</v>
      </c>
      <c r="N70" s="5"/>
      <c r="O70" s="5"/>
      <c r="P70" s="5"/>
      <c r="Q70" s="5">
        <f t="shared" si="4"/>
        <v>20</v>
      </c>
      <c r="R70" s="5">
        <f t="shared" si="5"/>
        <v>20</v>
      </c>
      <c r="S70" s="5" t="b">
        <f t="shared" si="6"/>
        <v>1</v>
      </c>
      <c r="T70" s="5">
        <f t="shared" si="7"/>
        <v>0</v>
      </c>
    </row>
    <row r="71" spans="1:20" ht="12.75" customHeight="1" x14ac:dyDescent="0.2">
      <c r="A71" s="2" t="s">
        <v>47</v>
      </c>
      <c r="B71" s="3">
        <v>1</v>
      </c>
      <c r="I71" s="5" t="s">
        <v>431</v>
      </c>
      <c r="J71" s="5">
        <v>16</v>
      </c>
      <c r="K71" s="5"/>
      <c r="L71" s="5" t="s">
        <v>431</v>
      </c>
      <c r="M71" s="5">
        <v>16</v>
      </c>
      <c r="N71" s="5"/>
      <c r="O71" s="5"/>
      <c r="P71" s="8"/>
      <c r="Q71" s="5">
        <f t="shared" si="4"/>
        <v>16</v>
      </c>
      <c r="R71" s="5">
        <f t="shared" si="5"/>
        <v>16</v>
      </c>
      <c r="S71" s="5" t="b">
        <f t="shared" si="6"/>
        <v>1</v>
      </c>
      <c r="T71" s="5">
        <f t="shared" si="7"/>
        <v>0</v>
      </c>
    </row>
    <row r="72" spans="1:20" ht="12.75" customHeight="1" x14ac:dyDescent="0.2">
      <c r="A72" s="2" t="s">
        <v>59</v>
      </c>
      <c r="B72" s="3">
        <v>2</v>
      </c>
      <c r="I72" s="5" t="s">
        <v>470</v>
      </c>
      <c r="J72" s="5">
        <v>47</v>
      </c>
      <c r="K72" s="5"/>
      <c r="L72" s="5" t="s">
        <v>470</v>
      </c>
      <c r="M72" s="5">
        <v>47</v>
      </c>
      <c r="N72" s="5"/>
      <c r="O72" s="5"/>
      <c r="P72" s="5"/>
      <c r="Q72" s="5">
        <f t="shared" si="4"/>
        <v>47</v>
      </c>
      <c r="R72" s="5">
        <f t="shared" si="5"/>
        <v>47</v>
      </c>
      <c r="S72" s="5" t="b">
        <f t="shared" si="6"/>
        <v>1</v>
      </c>
      <c r="T72" s="5">
        <f t="shared" si="7"/>
        <v>0</v>
      </c>
    </row>
    <row r="73" spans="1:20" ht="12.75" customHeight="1" x14ac:dyDescent="0.2">
      <c r="A73" s="2" t="s">
        <v>69</v>
      </c>
      <c r="B73" s="3">
        <v>3</v>
      </c>
      <c r="I73" s="5" t="s">
        <v>456</v>
      </c>
      <c r="J73" s="5">
        <v>30</v>
      </c>
      <c r="K73" s="5"/>
      <c r="L73" s="5" t="s">
        <v>456</v>
      </c>
      <c r="M73" s="5">
        <v>30</v>
      </c>
      <c r="N73" s="5"/>
      <c r="O73" s="5"/>
      <c r="P73" s="5"/>
      <c r="Q73" s="5">
        <f t="shared" si="4"/>
        <v>30</v>
      </c>
      <c r="R73" s="5">
        <f t="shared" si="5"/>
        <v>30</v>
      </c>
      <c r="S73" s="5" t="b">
        <f t="shared" si="6"/>
        <v>1</v>
      </c>
      <c r="T73" s="5">
        <f t="shared" si="7"/>
        <v>0</v>
      </c>
    </row>
    <row r="74" spans="1:20" ht="12.75" customHeight="1" x14ac:dyDescent="0.2">
      <c r="A74" s="2" t="s">
        <v>49</v>
      </c>
      <c r="B74" s="3">
        <v>1</v>
      </c>
      <c r="I74" s="5" t="s">
        <v>432</v>
      </c>
      <c r="J74" s="5">
        <v>14</v>
      </c>
      <c r="K74" s="5"/>
      <c r="L74" s="5" t="s">
        <v>432</v>
      </c>
      <c r="M74" s="5">
        <v>14</v>
      </c>
      <c r="N74" s="5"/>
      <c r="O74" s="5"/>
      <c r="P74" s="5"/>
      <c r="Q74" s="5">
        <f t="shared" si="4"/>
        <v>14</v>
      </c>
      <c r="R74" s="5">
        <f t="shared" si="5"/>
        <v>14</v>
      </c>
      <c r="S74" s="5" t="b">
        <f t="shared" si="6"/>
        <v>1</v>
      </c>
      <c r="T74" s="5">
        <f t="shared" si="7"/>
        <v>0</v>
      </c>
    </row>
    <row r="75" spans="1:20" ht="12.75" customHeight="1" x14ac:dyDescent="0.2">
      <c r="A75" s="2" t="s">
        <v>68</v>
      </c>
      <c r="B75" s="3">
        <v>3</v>
      </c>
      <c r="I75" s="5" t="s">
        <v>466</v>
      </c>
      <c r="J75" s="5">
        <v>40</v>
      </c>
      <c r="K75" s="5"/>
      <c r="L75" s="5" t="s">
        <v>466</v>
      </c>
      <c r="M75" s="5">
        <v>40</v>
      </c>
      <c r="N75" s="5"/>
      <c r="O75" s="5"/>
      <c r="P75" s="5"/>
      <c r="Q75" s="5">
        <f t="shared" si="4"/>
        <v>40</v>
      </c>
      <c r="R75" s="5">
        <f t="shared" si="5"/>
        <v>40</v>
      </c>
      <c r="S75" s="5" t="b">
        <f t="shared" si="6"/>
        <v>1</v>
      </c>
      <c r="T75" s="5">
        <f t="shared" si="7"/>
        <v>0</v>
      </c>
    </row>
    <row r="76" spans="1:20" ht="12.75" customHeight="1" x14ac:dyDescent="0.2">
      <c r="A76" s="2" t="s">
        <v>10</v>
      </c>
      <c r="B76" s="3">
        <v>17</v>
      </c>
      <c r="I76" s="5" t="s">
        <v>402</v>
      </c>
      <c r="J76" s="5">
        <v>10</v>
      </c>
      <c r="K76" s="5"/>
      <c r="L76" s="5" t="s">
        <v>402</v>
      </c>
      <c r="M76" s="5">
        <v>10</v>
      </c>
      <c r="N76" s="5"/>
      <c r="O76" s="5"/>
      <c r="P76" s="5"/>
      <c r="Q76" s="5">
        <f t="shared" si="4"/>
        <v>10</v>
      </c>
      <c r="R76" s="5">
        <f t="shared" si="5"/>
        <v>10</v>
      </c>
      <c r="S76" s="5" t="b">
        <f t="shared" si="6"/>
        <v>1</v>
      </c>
      <c r="T76" s="5">
        <f t="shared" si="7"/>
        <v>0</v>
      </c>
    </row>
    <row r="77" spans="1:20" ht="12.75" customHeight="1" x14ac:dyDescent="0.2">
      <c r="A77" s="2" t="s">
        <v>15</v>
      </c>
      <c r="B77" s="3">
        <v>1</v>
      </c>
      <c r="I77" s="5" t="s">
        <v>441</v>
      </c>
      <c r="J77" s="5">
        <v>20</v>
      </c>
      <c r="K77" s="5"/>
      <c r="L77" s="5" t="s">
        <v>441</v>
      </c>
      <c r="M77" s="5">
        <v>20</v>
      </c>
      <c r="N77" s="5"/>
      <c r="O77" s="5"/>
      <c r="P77" s="5"/>
      <c r="Q77" s="5">
        <f t="shared" si="4"/>
        <v>20</v>
      </c>
      <c r="R77" s="5">
        <f t="shared" si="5"/>
        <v>20</v>
      </c>
      <c r="S77" s="5" t="b">
        <f t="shared" si="6"/>
        <v>1</v>
      </c>
      <c r="T77" s="5">
        <f t="shared" si="7"/>
        <v>0</v>
      </c>
    </row>
    <row r="78" spans="1:20" ht="12.75" customHeight="1" x14ac:dyDescent="0.2">
      <c r="A78" s="2" t="s">
        <v>6</v>
      </c>
      <c r="B78" s="3">
        <v>11</v>
      </c>
      <c r="I78" s="5" t="s">
        <v>442</v>
      </c>
      <c r="J78" s="5">
        <v>30</v>
      </c>
      <c r="K78" s="5"/>
      <c r="L78" s="5" t="s">
        <v>442</v>
      </c>
      <c r="M78" s="5">
        <v>30</v>
      </c>
      <c r="N78" s="5"/>
      <c r="O78" s="5"/>
      <c r="P78" s="5"/>
      <c r="Q78" s="5">
        <f t="shared" si="4"/>
        <v>30</v>
      </c>
      <c r="R78" s="5">
        <f t="shared" si="5"/>
        <v>30</v>
      </c>
      <c r="S78" s="5" t="b">
        <f t="shared" si="6"/>
        <v>1</v>
      </c>
      <c r="T78" s="5">
        <f t="shared" si="7"/>
        <v>0</v>
      </c>
    </row>
    <row r="79" spans="1:20" ht="12.75" customHeight="1" x14ac:dyDescent="0.2">
      <c r="A79" s="2" t="s">
        <v>53</v>
      </c>
      <c r="B79" s="3">
        <v>2</v>
      </c>
      <c r="I79" s="5" t="s">
        <v>443</v>
      </c>
      <c r="J79" s="5">
        <v>20</v>
      </c>
      <c r="K79" s="5"/>
      <c r="L79" s="5" t="s">
        <v>443</v>
      </c>
      <c r="M79" s="5">
        <v>20</v>
      </c>
      <c r="N79" s="5"/>
      <c r="O79" s="5"/>
      <c r="P79" s="5"/>
      <c r="Q79" s="5">
        <f t="shared" si="4"/>
        <v>20</v>
      </c>
      <c r="R79" s="5">
        <f t="shared" si="5"/>
        <v>20</v>
      </c>
      <c r="S79" s="5" t="b">
        <f t="shared" si="6"/>
        <v>1</v>
      </c>
      <c r="T79" s="5">
        <f t="shared" si="7"/>
        <v>0</v>
      </c>
    </row>
    <row r="80" spans="1:20" ht="12.75" customHeight="1" x14ac:dyDescent="0.2">
      <c r="A80" s="2" t="s">
        <v>86</v>
      </c>
      <c r="B80" s="3">
        <v>18</v>
      </c>
      <c r="I80" s="5" t="s">
        <v>423</v>
      </c>
      <c r="J80" s="5">
        <v>23</v>
      </c>
      <c r="K80" s="5"/>
      <c r="L80" s="5" t="s">
        <v>423</v>
      </c>
      <c r="M80" s="5">
        <v>23</v>
      </c>
      <c r="N80" s="5"/>
      <c r="O80" s="5"/>
      <c r="P80" s="5"/>
      <c r="Q80" s="5">
        <f t="shared" si="4"/>
        <v>23</v>
      </c>
      <c r="R80" s="5">
        <f t="shared" si="5"/>
        <v>23</v>
      </c>
      <c r="S80" s="5" t="b">
        <f t="shared" si="6"/>
        <v>1</v>
      </c>
      <c r="T80" s="5">
        <f t="shared" si="7"/>
        <v>0</v>
      </c>
    </row>
    <row r="81" spans="1:20" ht="12.75" customHeight="1" x14ac:dyDescent="0.2">
      <c r="A81" s="2" t="s">
        <v>78</v>
      </c>
      <c r="B81" s="3">
        <v>7</v>
      </c>
      <c r="I81" s="5" t="s">
        <v>444</v>
      </c>
      <c r="J81" s="5">
        <v>20</v>
      </c>
      <c r="K81" s="5"/>
      <c r="L81" s="5" t="s">
        <v>444</v>
      </c>
      <c r="M81" s="5">
        <v>20</v>
      </c>
      <c r="N81" s="5"/>
      <c r="O81" s="5"/>
      <c r="P81" s="5"/>
      <c r="Q81" s="5">
        <f t="shared" si="4"/>
        <v>20</v>
      </c>
      <c r="R81" s="5">
        <f t="shared" si="5"/>
        <v>20</v>
      </c>
      <c r="S81" s="5" t="b">
        <f t="shared" si="6"/>
        <v>1</v>
      </c>
      <c r="T81" s="5">
        <f t="shared" si="7"/>
        <v>0</v>
      </c>
    </row>
    <row r="82" spans="1:20" ht="12.75" customHeight="1" x14ac:dyDescent="0.2">
      <c r="A82" s="2" t="s">
        <v>43</v>
      </c>
      <c r="B82" s="3">
        <v>5</v>
      </c>
      <c r="I82" s="5" t="s">
        <v>395</v>
      </c>
      <c r="J82" s="5">
        <v>10</v>
      </c>
      <c r="K82" s="5"/>
      <c r="L82" s="5" t="s">
        <v>395</v>
      </c>
      <c r="M82" s="5">
        <v>10</v>
      </c>
      <c r="N82" s="5"/>
      <c r="O82" s="5"/>
      <c r="P82" s="5"/>
      <c r="Q82" s="5">
        <f t="shared" si="4"/>
        <v>10</v>
      </c>
      <c r="R82" s="5">
        <f t="shared" si="5"/>
        <v>10</v>
      </c>
      <c r="S82" s="5" t="b">
        <f t="shared" si="6"/>
        <v>1</v>
      </c>
      <c r="T82" s="5">
        <f t="shared" si="7"/>
        <v>0</v>
      </c>
    </row>
    <row r="83" spans="1:20" ht="12.75" customHeight="1" x14ac:dyDescent="0.2">
      <c r="A83" s="2" t="s">
        <v>64</v>
      </c>
      <c r="B83" s="3">
        <v>3</v>
      </c>
      <c r="I83" s="5" t="s">
        <v>445</v>
      </c>
      <c r="J83" s="5">
        <v>20</v>
      </c>
      <c r="K83" s="5"/>
      <c r="L83" s="5" t="s">
        <v>445</v>
      </c>
      <c r="M83" s="5">
        <v>20</v>
      </c>
      <c r="N83" s="5"/>
      <c r="O83" s="5"/>
      <c r="P83" s="5"/>
      <c r="Q83" s="5">
        <f t="shared" si="4"/>
        <v>20</v>
      </c>
      <c r="R83" s="5">
        <f t="shared" si="5"/>
        <v>20</v>
      </c>
      <c r="S83" s="5" t="b">
        <f t="shared" si="6"/>
        <v>1</v>
      </c>
      <c r="T83" s="5">
        <f t="shared" si="7"/>
        <v>0</v>
      </c>
    </row>
    <row r="84" spans="1:20" ht="12.75" customHeight="1" x14ac:dyDescent="0.2">
      <c r="A84" s="2" t="s">
        <v>26</v>
      </c>
      <c r="B84" s="3">
        <v>1</v>
      </c>
      <c r="I84" s="5" t="s">
        <v>464</v>
      </c>
      <c r="J84" s="5">
        <v>40</v>
      </c>
      <c r="K84" s="5"/>
      <c r="L84" s="5" t="s">
        <v>464</v>
      </c>
      <c r="M84" s="5">
        <v>40</v>
      </c>
      <c r="N84" s="5"/>
      <c r="O84" s="5"/>
      <c r="P84" s="5"/>
      <c r="Q84" s="5">
        <f t="shared" si="4"/>
        <v>40</v>
      </c>
      <c r="R84" s="5">
        <f t="shared" si="5"/>
        <v>40</v>
      </c>
      <c r="S84" s="5" t="b">
        <f t="shared" si="6"/>
        <v>1</v>
      </c>
      <c r="T84" s="5">
        <f t="shared" si="7"/>
        <v>0</v>
      </c>
    </row>
    <row r="85" spans="1:20" ht="12.75" customHeight="1" x14ac:dyDescent="0.2">
      <c r="A85" s="2" t="s">
        <v>56</v>
      </c>
      <c r="B85" s="3">
        <v>2</v>
      </c>
      <c r="I85" s="5" t="s">
        <v>1390</v>
      </c>
      <c r="J85" s="5">
        <v>5</v>
      </c>
      <c r="K85" s="5"/>
      <c r="L85" s="5" t="s">
        <v>1390</v>
      </c>
      <c r="M85" s="5">
        <v>5</v>
      </c>
      <c r="N85" s="5"/>
      <c r="O85" s="5"/>
      <c r="P85" s="5"/>
      <c r="Q85" s="5">
        <f t="shared" si="4"/>
        <v>5</v>
      </c>
      <c r="R85" s="5">
        <f t="shared" si="5"/>
        <v>5</v>
      </c>
      <c r="S85" s="5" t="b">
        <f t="shared" si="6"/>
        <v>1</v>
      </c>
      <c r="T85" s="5">
        <f t="shared" si="7"/>
        <v>0</v>
      </c>
    </row>
    <row r="86" spans="1:20" ht="12.75" customHeight="1" x14ac:dyDescent="0.2">
      <c r="A86" s="2" t="s">
        <v>72</v>
      </c>
      <c r="B86" s="3">
        <v>4</v>
      </c>
      <c r="I86" s="5" t="s">
        <v>82</v>
      </c>
      <c r="J86" s="5">
        <v>14</v>
      </c>
      <c r="K86" s="5"/>
      <c r="L86" s="5" t="s">
        <v>82</v>
      </c>
      <c r="M86" s="5">
        <v>14</v>
      </c>
      <c r="N86" s="5"/>
      <c r="O86" s="5"/>
      <c r="P86" s="5"/>
      <c r="Q86" s="5">
        <f t="shared" si="4"/>
        <v>14</v>
      </c>
      <c r="R86" s="5">
        <f t="shared" si="5"/>
        <v>14</v>
      </c>
      <c r="S86" s="5" t="b">
        <f t="shared" si="6"/>
        <v>1</v>
      </c>
      <c r="T86" s="5">
        <f t="shared" si="7"/>
        <v>0</v>
      </c>
    </row>
    <row r="87" spans="1:20" ht="12.75" customHeight="1" x14ac:dyDescent="0.2">
      <c r="A87" s="2" t="s">
        <v>27</v>
      </c>
      <c r="B87" s="3">
        <v>1</v>
      </c>
      <c r="I87" s="5" t="s">
        <v>373</v>
      </c>
      <c r="J87" s="5">
        <v>5</v>
      </c>
      <c r="K87" s="5"/>
      <c r="L87" s="5" t="s">
        <v>373</v>
      </c>
      <c r="M87" s="5">
        <v>5</v>
      </c>
      <c r="N87" s="5"/>
      <c r="O87" s="5"/>
      <c r="P87" s="5"/>
      <c r="Q87" s="5">
        <f t="shared" si="4"/>
        <v>5</v>
      </c>
      <c r="R87" s="5">
        <f t="shared" si="5"/>
        <v>5</v>
      </c>
      <c r="S87" s="5" t="b">
        <f t="shared" si="6"/>
        <v>1</v>
      </c>
      <c r="T87" s="5">
        <f t="shared" si="7"/>
        <v>0</v>
      </c>
    </row>
    <row r="88" spans="1:20" ht="12.75" customHeight="1" x14ac:dyDescent="0.2">
      <c r="A88" s="2" t="s">
        <v>65</v>
      </c>
      <c r="B88" s="3">
        <v>10</v>
      </c>
      <c r="I88" s="5" t="s">
        <v>81</v>
      </c>
      <c r="J88" s="5">
        <v>3</v>
      </c>
      <c r="K88" s="5"/>
      <c r="L88" s="5" t="s">
        <v>81</v>
      </c>
      <c r="M88" s="5">
        <v>3</v>
      </c>
      <c r="N88" s="5"/>
      <c r="O88" s="5"/>
      <c r="P88" s="5"/>
      <c r="Q88" s="5">
        <f t="shared" si="4"/>
        <v>3</v>
      </c>
      <c r="R88" s="5">
        <f t="shared" si="5"/>
        <v>3</v>
      </c>
      <c r="S88" s="5" t="b">
        <f t="shared" si="6"/>
        <v>1</v>
      </c>
      <c r="T88" s="5">
        <f t="shared" si="7"/>
        <v>0</v>
      </c>
    </row>
    <row r="89" spans="1:20" ht="12.75" customHeight="1" x14ac:dyDescent="0.2">
      <c r="A89" s="2" t="s">
        <v>48</v>
      </c>
      <c r="B89" s="3">
        <v>1</v>
      </c>
      <c r="I89" s="5" t="s">
        <v>8</v>
      </c>
      <c r="J89" s="5">
        <v>1</v>
      </c>
      <c r="K89" s="5"/>
      <c r="L89" s="5" t="s">
        <v>8</v>
      </c>
      <c r="M89" s="5">
        <v>1</v>
      </c>
      <c r="N89" s="5"/>
      <c r="O89" s="5"/>
      <c r="P89" s="5"/>
      <c r="Q89" s="5">
        <f t="shared" si="4"/>
        <v>1</v>
      </c>
      <c r="R89" s="5">
        <f t="shared" si="5"/>
        <v>1</v>
      </c>
      <c r="S89" s="5" t="b">
        <f t="shared" si="6"/>
        <v>1</v>
      </c>
      <c r="T89" s="5">
        <f t="shared" si="7"/>
        <v>0</v>
      </c>
    </row>
    <row r="90" spans="1:20" ht="12.75" customHeight="1" x14ac:dyDescent="0.2">
      <c r="A90" s="2" t="s">
        <v>44</v>
      </c>
      <c r="B90" s="3">
        <v>1</v>
      </c>
      <c r="I90" s="5" t="s">
        <v>88</v>
      </c>
      <c r="J90" s="5">
        <v>18</v>
      </c>
      <c r="K90" s="5"/>
      <c r="L90" s="5" t="s">
        <v>88</v>
      </c>
      <c r="M90" s="5">
        <v>18</v>
      </c>
      <c r="N90" s="5"/>
      <c r="O90" s="5"/>
      <c r="P90" s="5"/>
      <c r="Q90" s="5">
        <f t="shared" si="4"/>
        <v>18</v>
      </c>
      <c r="R90" s="5">
        <f t="shared" si="5"/>
        <v>18</v>
      </c>
      <c r="S90" s="5" t="b">
        <f t="shared" si="6"/>
        <v>1</v>
      </c>
      <c r="T90" s="5">
        <f t="shared" si="7"/>
        <v>0</v>
      </c>
    </row>
    <row r="91" spans="1:20" ht="12.75" customHeight="1" x14ac:dyDescent="0.2">
      <c r="A91" s="2" t="s">
        <v>60</v>
      </c>
      <c r="B91" s="3">
        <v>2</v>
      </c>
      <c r="I91" s="5" t="s">
        <v>77</v>
      </c>
      <c r="J91" s="5">
        <v>7</v>
      </c>
      <c r="K91" s="5"/>
      <c r="L91" s="5" t="s">
        <v>77</v>
      </c>
      <c r="M91" s="5">
        <v>7</v>
      </c>
      <c r="N91" s="5"/>
      <c r="O91" s="5"/>
      <c r="P91" s="5"/>
      <c r="Q91" s="5">
        <f t="shared" si="4"/>
        <v>7</v>
      </c>
      <c r="R91" s="5">
        <f t="shared" si="5"/>
        <v>7</v>
      </c>
      <c r="S91" s="5" t="b">
        <f t="shared" si="6"/>
        <v>1</v>
      </c>
      <c r="T91" s="5">
        <f t="shared" si="7"/>
        <v>0</v>
      </c>
    </row>
    <row r="92" spans="1:20" x14ac:dyDescent="0.2">
      <c r="A92" s="2" t="s">
        <v>45</v>
      </c>
      <c r="B92" s="3">
        <v>1</v>
      </c>
      <c r="I92" s="5" t="s">
        <v>70</v>
      </c>
      <c r="J92" s="5">
        <v>1</v>
      </c>
      <c r="K92" s="5"/>
      <c r="L92" s="5" t="s">
        <v>70</v>
      </c>
      <c r="M92" s="5">
        <v>1</v>
      </c>
      <c r="N92" s="5"/>
      <c r="O92" s="5"/>
      <c r="P92" s="5"/>
      <c r="Q92" s="5">
        <f t="shared" si="4"/>
        <v>1</v>
      </c>
      <c r="R92" s="5">
        <f t="shared" si="5"/>
        <v>1</v>
      </c>
      <c r="S92" s="5" t="b">
        <f t="shared" si="6"/>
        <v>1</v>
      </c>
      <c r="T92" s="5">
        <f t="shared" si="7"/>
        <v>0</v>
      </c>
    </row>
    <row r="93" spans="1:20" ht="12.75" customHeight="1" x14ac:dyDescent="0.2">
      <c r="A93" s="2" t="s">
        <v>63</v>
      </c>
      <c r="B93" s="3">
        <v>3</v>
      </c>
      <c r="I93" s="5" t="s">
        <v>1156</v>
      </c>
      <c r="J93" s="26">
        <v>12</v>
      </c>
      <c r="K93" s="5"/>
      <c r="L93" s="5" t="s">
        <v>1156</v>
      </c>
      <c r="M93" s="5">
        <v>12</v>
      </c>
      <c r="N93" s="5"/>
      <c r="O93" s="5"/>
      <c r="P93" s="5"/>
      <c r="Q93" s="5">
        <f t="shared" si="4"/>
        <v>12</v>
      </c>
      <c r="R93" s="5">
        <f t="shared" si="5"/>
        <v>12</v>
      </c>
      <c r="S93" s="5" t="b">
        <f t="shared" si="6"/>
        <v>1</v>
      </c>
      <c r="T93" s="5">
        <f t="shared" si="7"/>
        <v>0</v>
      </c>
    </row>
    <row r="94" spans="1:20" ht="12.75" customHeight="1" x14ac:dyDescent="0.2">
      <c r="A94" s="2" t="s">
        <v>74</v>
      </c>
      <c r="B94" s="3">
        <v>4</v>
      </c>
      <c r="I94" s="5" t="s">
        <v>9</v>
      </c>
      <c r="J94" s="5">
        <v>30</v>
      </c>
      <c r="K94" s="5"/>
      <c r="L94" s="5" t="s">
        <v>9</v>
      </c>
      <c r="M94" s="5">
        <v>30</v>
      </c>
      <c r="N94" s="5"/>
      <c r="O94" s="5"/>
      <c r="P94" s="5"/>
      <c r="Q94" s="5">
        <f t="shared" si="4"/>
        <v>30</v>
      </c>
      <c r="R94" s="5">
        <f t="shared" si="5"/>
        <v>30</v>
      </c>
      <c r="S94" s="5" t="b">
        <f t="shared" si="6"/>
        <v>1</v>
      </c>
      <c r="T94" s="5">
        <f t="shared" si="7"/>
        <v>0</v>
      </c>
    </row>
    <row r="95" spans="1:20" x14ac:dyDescent="0.2">
      <c r="A95" s="2" t="s">
        <v>92</v>
      </c>
      <c r="B95" s="3">
        <v>1186</v>
      </c>
      <c r="I95" s="5" t="s">
        <v>1154</v>
      </c>
      <c r="J95" s="5">
        <v>7</v>
      </c>
      <c r="K95" s="5"/>
      <c r="L95" s="5" t="s">
        <v>1154</v>
      </c>
      <c r="M95" s="5">
        <v>7</v>
      </c>
      <c r="N95" s="5"/>
      <c r="O95" s="5"/>
      <c r="P95" s="5"/>
      <c r="Q95" s="5">
        <f t="shared" si="4"/>
        <v>7</v>
      </c>
      <c r="R95" s="5">
        <f t="shared" si="5"/>
        <v>7</v>
      </c>
      <c r="S95" s="5" t="b">
        <f t="shared" si="6"/>
        <v>1</v>
      </c>
      <c r="T95" s="5">
        <f t="shared" si="7"/>
        <v>0</v>
      </c>
    </row>
    <row r="96" spans="1:20" x14ac:dyDescent="0.2">
      <c r="I96" s="5" t="s">
        <v>1760</v>
      </c>
      <c r="J96" s="26">
        <v>3</v>
      </c>
      <c r="K96" s="5"/>
      <c r="L96" s="5" t="s">
        <v>1760</v>
      </c>
      <c r="M96" s="5">
        <v>3</v>
      </c>
      <c r="N96" s="5"/>
      <c r="O96" s="5"/>
      <c r="P96" s="5"/>
      <c r="Q96" s="5">
        <f t="shared" si="4"/>
        <v>3</v>
      </c>
      <c r="R96" s="5">
        <f t="shared" si="5"/>
        <v>3</v>
      </c>
      <c r="S96" s="5" t="b">
        <f t="shared" si="6"/>
        <v>1</v>
      </c>
      <c r="T96" s="5">
        <f t="shared" si="7"/>
        <v>0</v>
      </c>
    </row>
    <row r="97" spans="9:20" x14ac:dyDescent="0.2">
      <c r="I97" s="5" t="s">
        <v>458</v>
      </c>
      <c r="J97" s="5">
        <v>59</v>
      </c>
      <c r="K97" s="5"/>
      <c r="L97" s="5" t="s">
        <v>458</v>
      </c>
      <c r="M97" s="5">
        <v>59</v>
      </c>
      <c r="N97" s="5"/>
      <c r="O97" s="5"/>
      <c r="P97" s="5"/>
      <c r="Q97" s="5">
        <f t="shared" si="4"/>
        <v>59</v>
      </c>
      <c r="R97" s="5">
        <f t="shared" si="5"/>
        <v>59</v>
      </c>
      <c r="S97" s="5" t="b">
        <f t="shared" si="6"/>
        <v>1</v>
      </c>
      <c r="T97" s="5">
        <f t="shared" si="7"/>
        <v>0</v>
      </c>
    </row>
    <row r="98" spans="9:20" x14ac:dyDescent="0.2">
      <c r="I98" s="5" t="s">
        <v>468</v>
      </c>
      <c r="J98" s="5">
        <v>3</v>
      </c>
      <c r="K98" s="5"/>
      <c r="L98" s="5" t="s">
        <v>468</v>
      </c>
      <c r="M98" s="5">
        <v>3</v>
      </c>
      <c r="N98" s="5"/>
      <c r="O98" s="5"/>
      <c r="P98" s="5"/>
      <c r="Q98" s="5">
        <f t="shared" si="4"/>
        <v>3</v>
      </c>
      <c r="R98" s="5">
        <f t="shared" si="5"/>
        <v>3</v>
      </c>
      <c r="S98" s="5" t="b">
        <f t="shared" si="6"/>
        <v>1</v>
      </c>
      <c r="T98" s="5">
        <f t="shared" si="7"/>
        <v>0</v>
      </c>
    </row>
    <row r="99" spans="9:20" x14ac:dyDescent="0.2">
      <c r="I99" s="5" t="s">
        <v>11</v>
      </c>
      <c r="J99" s="5">
        <v>9</v>
      </c>
      <c r="K99" s="5"/>
      <c r="L99" s="5" t="s">
        <v>11</v>
      </c>
      <c r="M99" s="5">
        <v>9</v>
      </c>
      <c r="N99" s="5"/>
      <c r="O99" s="5"/>
      <c r="P99" s="5"/>
      <c r="Q99" s="5">
        <f t="shared" si="4"/>
        <v>9</v>
      </c>
      <c r="R99" s="5">
        <f t="shared" si="5"/>
        <v>9</v>
      </c>
      <c r="S99" s="5" t="b">
        <f t="shared" si="6"/>
        <v>1</v>
      </c>
      <c r="T99" s="5">
        <f t="shared" si="7"/>
        <v>0</v>
      </c>
    </row>
    <row r="100" spans="9:20" x14ac:dyDescent="0.2">
      <c r="I100" s="5" t="s">
        <v>31</v>
      </c>
      <c r="J100" s="5">
        <v>1</v>
      </c>
      <c r="K100" s="5"/>
      <c r="L100" s="5" t="s">
        <v>31</v>
      </c>
      <c r="M100" s="5">
        <v>1</v>
      </c>
      <c r="N100" s="5"/>
      <c r="O100" s="5"/>
      <c r="P100" s="5"/>
      <c r="Q100" s="5">
        <f t="shared" si="4"/>
        <v>1</v>
      </c>
      <c r="R100" s="5">
        <f t="shared" si="5"/>
        <v>1</v>
      </c>
      <c r="S100" s="5" t="b">
        <f t="shared" si="6"/>
        <v>1</v>
      </c>
      <c r="T100" s="5">
        <f t="shared" si="7"/>
        <v>0</v>
      </c>
    </row>
    <row r="101" spans="9:20" x14ac:dyDescent="0.2">
      <c r="I101" s="5" t="s">
        <v>13</v>
      </c>
      <c r="J101" s="5">
        <v>9</v>
      </c>
      <c r="K101" s="5"/>
      <c r="L101" s="5" t="s">
        <v>13</v>
      </c>
      <c r="M101" s="5">
        <v>9</v>
      </c>
      <c r="N101" s="5"/>
      <c r="O101" s="5"/>
      <c r="P101" s="5"/>
      <c r="Q101" s="5">
        <f t="shared" si="4"/>
        <v>9</v>
      </c>
      <c r="R101" s="5">
        <f t="shared" si="5"/>
        <v>9</v>
      </c>
      <c r="S101" s="5" t="b">
        <f t="shared" si="6"/>
        <v>1</v>
      </c>
      <c r="T101" s="5">
        <f t="shared" si="7"/>
        <v>0</v>
      </c>
    </row>
    <row r="102" spans="9:20" x14ac:dyDescent="0.2">
      <c r="I102" s="5" t="s">
        <v>12</v>
      </c>
      <c r="J102" s="5">
        <v>9</v>
      </c>
      <c r="K102" s="5"/>
      <c r="L102" s="5" t="s">
        <v>12</v>
      </c>
      <c r="M102" s="5">
        <v>9</v>
      </c>
      <c r="N102" s="5"/>
      <c r="O102" s="5"/>
      <c r="P102" s="5"/>
      <c r="Q102" s="5">
        <f t="shared" si="4"/>
        <v>9</v>
      </c>
      <c r="R102" s="5">
        <f t="shared" si="5"/>
        <v>9</v>
      </c>
      <c r="S102" s="5" t="b">
        <f t="shared" si="6"/>
        <v>1</v>
      </c>
      <c r="T102" s="5">
        <f t="shared" si="7"/>
        <v>0</v>
      </c>
    </row>
    <row r="103" spans="9:20" x14ac:dyDescent="0.2">
      <c r="I103" s="5">
        <v>200997</v>
      </c>
      <c r="J103" s="5">
        <v>34</v>
      </c>
      <c r="K103" s="5"/>
      <c r="L103" s="5">
        <v>200997</v>
      </c>
      <c r="M103" s="5">
        <v>34</v>
      </c>
      <c r="N103" s="5"/>
      <c r="O103" s="5"/>
      <c r="P103" s="5"/>
      <c r="Q103" s="5">
        <f t="shared" si="4"/>
        <v>34</v>
      </c>
      <c r="R103" s="5">
        <f t="shared" si="5"/>
        <v>34</v>
      </c>
      <c r="S103" s="5" t="b">
        <f t="shared" si="6"/>
        <v>1</v>
      </c>
      <c r="T103" s="5">
        <f t="shared" si="7"/>
        <v>0</v>
      </c>
    </row>
    <row r="104" spans="9:20" x14ac:dyDescent="0.2">
      <c r="I104" s="5" t="s">
        <v>40</v>
      </c>
      <c r="J104" s="5">
        <v>1</v>
      </c>
      <c r="K104" s="5"/>
      <c r="L104" s="5" t="s">
        <v>40</v>
      </c>
      <c r="M104" s="5">
        <v>1</v>
      </c>
      <c r="N104" s="5"/>
      <c r="O104" s="5"/>
      <c r="P104" s="5"/>
      <c r="Q104" s="5">
        <f t="shared" si="4"/>
        <v>1</v>
      </c>
      <c r="R104" s="5">
        <f t="shared" si="5"/>
        <v>1</v>
      </c>
      <c r="S104" s="5" t="b">
        <f t="shared" si="6"/>
        <v>1</v>
      </c>
      <c r="T104" s="5">
        <f t="shared" si="7"/>
        <v>0</v>
      </c>
    </row>
    <row r="105" spans="9:20" x14ac:dyDescent="0.2">
      <c r="I105" s="5" t="s">
        <v>36</v>
      </c>
      <c r="J105" s="5">
        <v>3</v>
      </c>
      <c r="K105" s="5"/>
      <c r="L105" s="5" t="s">
        <v>36</v>
      </c>
      <c r="M105" s="5">
        <v>3</v>
      </c>
      <c r="N105" s="5"/>
      <c r="O105" s="5"/>
      <c r="P105" s="5"/>
      <c r="Q105" s="5">
        <f t="shared" si="4"/>
        <v>3</v>
      </c>
      <c r="R105" s="5">
        <f t="shared" si="5"/>
        <v>3</v>
      </c>
      <c r="S105" s="5" t="b">
        <f t="shared" si="6"/>
        <v>1</v>
      </c>
      <c r="T105" s="5">
        <f t="shared" si="7"/>
        <v>0</v>
      </c>
    </row>
    <row r="106" spans="9:20" x14ac:dyDescent="0.2">
      <c r="I106" s="5" t="s">
        <v>38</v>
      </c>
      <c r="J106" s="5">
        <v>2</v>
      </c>
      <c r="K106" s="5"/>
      <c r="L106" s="5" t="s">
        <v>38</v>
      </c>
      <c r="M106" s="5">
        <v>2</v>
      </c>
      <c r="N106" s="5"/>
      <c r="O106" s="5"/>
      <c r="P106" s="5"/>
      <c r="Q106" s="5">
        <f t="shared" si="4"/>
        <v>2</v>
      </c>
      <c r="R106" s="5">
        <f t="shared" si="5"/>
        <v>2</v>
      </c>
      <c r="S106" s="5" t="b">
        <f t="shared" si="6"/>
        <v>1</v>
      </c>
      <c r="T106" s="5">
        <f t="shared" si="7"/>
        <v>0</v>
      </c>
    </row>
    <row r="107" spans="9:20" x14ac:dyDescent="0.2">
      <c r="I107" s="5" t="s">
        <v>37</v>
      </c>
      <c r="J107" s="5">
        <v>3</v>
      </c>
      <c r="K107" s="5"/>
      <c r="L107" s="5" t="s">
        <v>37</v>
      </c>
      <c r="M107" s="5">
        <v>3</v>
      </c>
      <c r="N107" s="5"/>
      <c r="O107" s="5"/>
      <c r="P107" s="5"/>
      <c r="Q107" s="5">
        <f t="shared" si="4"/>
        <v>3</v>
      </c>
      <c r="R107" s="5">
        <f t="shared" si="5"/>
        <v>3</v>
      </c>
      <c r="S107" s="5" t="b">
        <f t="shared" si="6"/>
        <v>1</v>
      </c>
      <c r="T107" s="5">
        <f t="shared" si="7"/>
        <v>0</v>
      </c>
    </row>
    <row r="108" spans="9:20" x14ac:dyDescent="0.2">
      <c r="I108" s="5" t="s">
        <v>134</v>
      </c>
      <c r="J108" s="5">
        <v>53</v>
      </c>
      <c r="K108" s="5"/>
      <c r="L108" s="5" t="s">
        <v>134</v>
      </c>
      <c r="M108" s="5">
        <v>53</v>
      </c>
      <c r="N108" s="5"/>
      <c r="O108" s="5"/>
      <c r="P108" s="5"/>
      <c r="Q108" s="5">
        <f t="shared" si="4"/>
        <v>53</v>
      </c>
      <c r="R108" s="5">
        <f t="shared" si="5"/>
        <v>53</v>
      </c>
      <c r="S108" s="5" t="b">
        <f t="shared" si="6"/>
        <v>1</v>
      </c>
      <c r="T108" s="5">
        <f t="shared" si="7"/>
        <v>0</v>
      </c>
    </row>
    <row r="109" spans="9:20" x14ac:dyDescent="0.2">
      <c r="I109" s="5" t="s">
        <v>71</v>
      </c>
      <c r="J109" s="5">
        <v>1</v>
      </c>
      <c r="K109" s="5"/>
      <c r="L109" s="5" t="s">
        <v>71</v>
      </c>
      <c r="M109" s="5">
        <v>1</v>
      </c>
      <c r="N109" s="5"/>
      <c r="O109" s="5"/>
      <c r="P109" s="5"/>
      <c r="Q109" s="5">
        <f t="shared" si="4"/>
        <v>1</v>
      </c>
      <c r="R109" s="5">
        <f t="shared" si="5"/>
        <v>1</v>
      </c>
      <c r="S109" s="5" t="b">
        <f t="shared" si="6"/>
        <v>1</v>
      </c>
      <c r="T109" s="5">
        <f t="shared" si="7"/>
        <v>0</v>
      </c>
    </row>
    <row r="110" spans="9:20" x14ac:dyDescent="0.2">
      <c r="I110" s="5">
        <v>201304</v>
      </c>
      <c r="J110" s="5">
        <v>20</v>
      </c>
      <c r="K110" s="5"/>
      <c r="L110" s="5">
        <v>201304</v>
      </c>
      <c r="M110" s="5">
        <v>20</v>
      </c>
      <c r="N110" s="5"/>
      <c r="O110" s="5"/>
      <c r="P110" s="5"/>
      <c r="Q110" s="5">
        <f t="shared" si="4"/>
        <v>20</v>
      </c>
      <c r="R110" s="5">
        <f t="shared" si="5"/>
        <v>20</v>
      </c>
      <c r="S110" s="5" t="b">
        <f t="shared" si="6"/>
        <v>1</v>
      </c>
      <c r="T110" s="5">
        <f t="shared" si="7"/>
        <v>0</v>
      </c>
    </row>
    <row r="111" spans="9:20" x14ac:dyDescent="0.2">
      <c r="I111" s="5" t="s">
        <v>66</v>
      </c>
      <c r="J111" s="5">
        <v>1</v>
      </c>
      <c r="K111" s="5"/>
      <c r="L111" s="5" t="s">
        <v>66</v>
      </c>
      <c r="M111" s="5">
        <v>1</v>
      </c>
      <c r="N111" s="5"/>
      <c r="O111" s="5"/>
      <c r="P111" s="5"/>
      <c r="Q111" s="5">
        <f t="shared" si="4"/>
        <v>1</v>
      </c>
      <c r="R111" s="5">
        <f t="shared" si="5"/>
        <v>1</v>
      </c>
      <c r="S111" s="5" t="b">
        <f t="shared" si="6"/>
        <v>1</v>
      </c>
      <c r="T111" s="5">
        <f t="shared" si="7"/>
        <v>0</v>
      </c>
    </row>
    <row r="112" spans="9:20" x14ac:dyDescent="0.2">
      <c r="I112" s="5" t="s">
        <v>62</v>
      </c>
      <c r="J112" s="5">
        <v>3</v>
      </c>
      <c r="K112" s="5"/>
      <c r="L112" s="5" t="s">
        <v>62</v>
      </c>
      <c r="M112" s="5">
        <v>3</v>
      </c>
      <c r="N112" s="5"/>
      <c r="O112" s="5"/>
      <c r="P112" s="5"/>
      <c r="Q112" s="5">
        <f t="shared" si="4"/>
        <v>3</v>
      </c>
      <c r="R112" s="5">
        <f t="shared" si="5"/>
        <v>3</v>
      </c>
      <c r="S112" s="5" t="b">
        <f t="shared" si="6"/>
        <v>1</v>
      </c>
      <c r="T112" s="5">
        <f t="shared" si="7"/>
        <v>0</v>
      </c>
    </row>
    <row r="113" spans="9:20" x14ac:dyDescent="0.2">
      <c r="I113" s="5" t="s">
        <v>67</v>
      </c>
      <c r="J113" s="5">
        <v>3</v>
      </c>
      <c r="K113" s="5"/>
      <c r="L113" s="5" t="s">
        <v>67</v>
      </c>
      <c r="M113" s="5">
        <v>3</v>
      </c>
      <c r="N113" s="5"/>
      <c r="O113" s="5"/>
      <c r="P113" s="5"/>
      <c r="Q113" s="5">
        <f t="shared" si="4"/>
        <v>3</v>
      </c>
      <c r="R113" s="5">
        <f t="shared" si="5"/>
        <v>3</v>
      </c>
      <c r="S113" s="5" t="b">
        <f t="shared" si="6"/>
        <v>1</v>
      </c>
      <c r="T113" s="5">
        <f t="shared" si="7"/>
        <v>0</v>
      </c>
    </row>
    <row r="114" spans="9:20" x14ac:dyDescent="0.2">
      <c r="I114" s="5" t="s">
        <v>57</v>
      </c>
      <c r="J114" s="5">
        <v>2</v>
      </c>
      <c r="K114" s="5"/>
      <c r="L114" s="5" t="s">
        <v>57</v>
      </c>
      <c r="M114" s="5">
        <v>2</v>
      </c>
      <c r="N114" s="5"/>
      <c r="O114" s="5"/>
      <c r="P114" s="5"/>
      <c r="Q114" s="5">
        <f t="shared" si="4"/>
        <v>2</v>
      </c>
      <c r="R114" s="5">
        <f t="shared" si="5"/>
        <v>2</v>
      </c>
      <c r="S114" s="5" t="b">
        <f t="shared" si="6"/>
        <v>1</v>
      </c>
      <c r="T114" s="5">
        <f t="shared" si="7"/>
        <v>0</v>
      </c>
    </row>
    <row r="115" spans="9:20" x14ac:dyDescent="0.2">
      <c r="I115" s="5">
        <v>201381</v>
      </c>
      <c r="J115" s="5">
        <v>11</v>
      </c>
      <c r="K115" s="5"/>
      <c r="L115" s="5">
        <v>201381</v>
      </c>
      <c r="M115" s="5">
        <v>11</v>
      </c>
      <c r="N115" s="5"/>
      <c r="O115" s="5"/>
      <c r="P115" s="5"/>
      <c r="Q115" s="5">
        <f t="shared" si="4"/>
        <v>11</v>
      </c>
      <c r="R115" s="5">
        <f t="shared" si="5"/>
        <v>11</v>
      </c>
      <c r="S115" s="5" t="b">
        <f t="shared" si="6"/>
        <v>1</v>
      </c>
      <c r="T115" s="5">
        <f t="shared" si="7"/>
        <v>0</v>
      </c>
    </row>
    <row r="116" spans="9:20" x14ac:dyDescent="0.2">
      <c r="I116" s="5">
        <v>201382</v>
      </c>
      <c r="J116" s="5">
        <v>10</v>
      </c>
      <c r="K116" s="5"/>
      <c r="L116" s="5">
        <v>201382</v>
      </c>
      <c r="M116" s="5">
        <v>10</v>
      </c>
      <c r="N116" s="5"/>
      <c r="O116" s="5"/>
      <c r="P116" s="5"/>
      <c r="Q116" s="5">
        <f t="shared" si="4"/>
        <v>10</v>
      </c>
      <c r="R116" s="5">
        <f t="shared" si="5"/>
        <v>10</v>
      </c>
      <c r="S116" s="5" t="b">
        <f t="shared" si="6"/>
        <v>1</v>
      </c>
      <c r="T116" s="5">
        <f t="shared" si="7"/>
        <v>0</v>
      </c>
    </row>
    <row r="117" spans="9:20" x14ac:dyDescent="0.2">
      <c r="I117" s="5" t="s">
        <v>58</v>
      </c>
      <c r="J117" s="5">
        <v>3</v>
      </c>
      <c r="K117" s="5"/>
      <c r="L117" s="5" t="s">
        <v>58</v>
      </c>
      <c r="M117" s="5">
        <v>3</v>
      </c>
      <c r="N117" s="5"/>
      <c r="O117" s="5"/>
      <c r="P117" s="5"/>
      <c r="Q117" s="5">
        <f t="shared" si="4"/>
        <v>3</v>
      </c>
      <c r="R117" s="5">
        <f t="shared" si="5"/>
        <v>3</v>
      </c>
      <c r="S117" s="5" t="b">
        <f t="shared" si="6"/>
        <v>1</v>
      </c>
      <c r="T117" s="5">
        <f t="shared" si="7"/>
        <v>0</v>
      </c>
    </row>
    <row r="118" spans="9:20" x14ac:dyDescent="0.2">
      <c r="I118" s="5">
        <v>201384</v>
      </c>
      <c r="J118" s="5">
        <v>1</v>
      </c>
      <c r="K118" s="5"/>
      <c r="L118" s="5">
        <v>201384</v>
      </c>
      <c r="M118" s="5">
        <v>1</v>
      </c>
      <c r="N118" s="5"/>
      <c r="O118" s="5"/>
      <c r="P118" s="5"/>
      <c r="Q118" s="5">
        <f t="shared" si="4"/>
        <v>1</v>
      </c>
      <c r="R118" s="5">
        <f t="shared" si="5"/>
        <v>1</v>
      </c>
      <c r="S118" s="5" t="b">
        <f t="shared" si="6"/>
        <v>1</v>
      </c>
      <c r="T118" s="5">
        <f t="shared" si="7"/>
        <v>0</v>
      </c>
    </row>
    <row r="119" spans="9:20" x14ac:dyDescent="0.2">
      <c r="I119" s="5">
        <v>201385</v>
      </c>
      <c r="J119" s="5">
        <v>1</v>
      </c>
      <c r="K119" s="5"/>
      <c r="L119" s="5">
        <v>201385</v>
      </c>
      <c r="M119" s="5">
        <v>1</v>
      </c>
      <c r="N119" s="5"/>
      <c r="O119" s="5"/>
      <c r="P119" s="5"/>
      <c r="Q119" s="5">
        <f t="shared" si="4"/>
        <v>1</v>
      </c>
      <c r="R119" s="5">
        <f t="shared" si="5"/>
        <v>1</v>
      </c>
      <c r="S119" s="5" t="b">
        <f t="shared" si="6"/>
        <v>1</v>
      </c>
      <c r="T119" s="5">
        <f t="shared" si="7"/>
        <v>0</v>
      </c>
    </row>
    <row r="120" spans="9:20" x14ac:dyDescent="0.2">
      <c r="I120" s="5">
        <v>201386</v>
      </c>
      <c r="J120" s="5">
        <v>1</v>
      </c>
      <c r="K120" s="5"/>
      <c r="L120" s="5">
        <v>201386</v>
      </c>
      <c r="M120" s="5">
        <v>1</v>
      </c>
      <c r="N120" s="5"/>
      <c r="O120" s="5"/>
      <c r="P120" s="5"/>
      <c r="Q120" s="5">
        <f t="shared" si="4"/>
        <v>1</v>
      </c>
      <c r="R120" s="5">
        <f t="shared" si="5"/>
        <v>1</v>
      </c>
      <c r="S120" s="5" t="b">
        <f t="shared" si="6"/>
        <v>1</v>
      </c>
      <c r="T120" s="5">
        <f t="shared" si="7"/>
        <v>0</v>
      </c>
    </row>
    <row r="121" spans="9:20" x14ac:dyDescent="0.2">
      <c r="I121" s="5">
        <v>201387</v>
      </c>
      <c r="J121" s="5">
        <v>1</v>
      </c>
      <c r="K121" s="5"/>
      <c r="L121" s="5">
        <v>201387</v>
      </c>
      <c r="M121" s="5">
        <v>1</v>
      </c>
      <c r="N121" s="5"/>
      <c r="O121" s="5"/>
      <c r="P121" s="5"/>
      <c r="Q121" s="5">
        <f t="shared" si="4"/>
        <v>1</v>
      </c>
      <c r="R121" s="5">
        <f t="shared" si="5"/>
        <v>1</v>
      </c>
      <c r="S121" s="5" t="b">
        <f t="shared" si="6"/>
        <v>1</v>
      </c>
      <c r="T121" s="5">
        <f t="shared" si="7"/>
        <v>0</v>
      </c>
    </row>
    <row r="122" spans="9:20" x14ac:dyDescent="0.2">
      <c r="I122" s="5" t="s">
        <v>650</v>
      </c>
      <c r="J122" s="5">
        <v>1</v>
      </c>
      <c r="K122" s="5"/>
      <c r="L122" s="5" t="s">
        <v>650</v>
      </c>
      <c r="M122" s="5">
        <v>1</v>
      </c>
      <c r="N122" s="5"/>
      <c r="O122" s="5"/>
      <c r="P122" s="5"/>
      <c r="Q122" s="5">
        <f t="shared" si="4"/>
        <v>1</v>
      </c>
      <c r="R122" s="5">
        <f t="shared" si="5"/>
        <v>1</v>
      </c>
      <c r="S122" s="5" t="b">
        <f t="shared" si="6"/>
        <v>1</v>
      </c>
      <c r="T122" s="5">
        <f t="shared" si="7"/>
        <v>0</v>
      </c>
    </row>
    <row r="123" spans="9:20" x14ac:dyDescent="0.2">
      <c r="I123" s="5" t="s">
        <v>4</v>
      </c>
      <c r="J123" s="5">
        <v>30</v>
      </c>
      <c r="K123" s="5"/>
      <c r="L123" s="5" t="s">
        <v>4</v>
      </c>
      <c r="M123" s="5">
        <v>30</v>
      </c>
      <c r="N123" s="5"/>
      <c r="O123" s="5"/>
      <c r="P123" s="5"/>
      <c r="Q123" s="5">
        <f t="shared" si="4"/>
        <v>30</v>
      </c>
      <c r="R123" s="5">
        <f t="shared" si="5"/>
        <v>30</v>
      </c>
      <c r="S123" s="5" t="b">
        <f t="shared" si="6"/>
        <v>1</v>
      </c>
      <c r="T123" s="5">
        <f t="shared" si="7"/>
        <v>0</v>
      </c>
    </row>
    <row r="124" spans="9:20" x14ac:dyDescent="0.2">
      <c r="I124" s="5" t="s">
        <v>459</v>
      </c>
      <c r="J124" s="5">
        <v>36</v>
      </c>
      <c r="K124" s="5"/>
      <c r="L124" s="5" t="s">
        <v>459</v>
      </c>
      <c r="M124" s="5">
        <v>36</v>
      </c>
      <c r="N124" s="5"/>
      <c r="O124" s="5"/>
      <c r="P124" s="5"/>
      <c r="Q124" s="5">
        <f t="shared" si="4"/>
        <v>36</v>
      </c>
      <c r="R124" s="5">
        <f t="shared" si="5"/>
        <v>36</v>
      </c>
      <c r="S124" s="5" t="b">
        <f t="shared" si="6"/>
        <v>1</v>
      </c>
      <c r="T124" s="5">
        <f t="shared" si="7"/>
        <v>0</v>
      </c>
    </row>
    <row r="125" spans="9:20" x14ac:dyDescent="0.2">
      <c r="I125" s="5" t="s">
        <v>52</v>
      </c>
      <c r="J125" s="5">
        <v>2</v>
      </c>
      <c r="K125" s="5"/>
      <c r="L125" s="5" t="s">
        <v>52</v>
      </c>
      <c r="M125" s="5">
        <v>2</v>
      </c>
      <c r="N125" s="5"/>
      <c r="O125" s="5"/>
      <c r="P125" s="5"/>
      <c r="Q125" s="5">
        <f t="shared" si="4"/>
        <v>2</v>
      </c>
      <c r="R125" s="5">
        <f t="shared" si="5"/>
        <v>2</v>
      </c>
      <c r="S125" s="5" t="b">
        <f t="shared" si="6"/>
        <v>1</v>
      </c>
      <c r="T125" s="5">
        <f t="shared" si="7"/>
        <v>0</v>
      </c>
    </row>
    <row r="126" spans="9:20" x14ac:dyDescent="0.2">
      <c r="I126" s="5" t="s">
        <v>383</v>
      </c>
      <c r="J126" s="5">
        <v>58</v>
      </c>
      <c r="K126" s="5"/>
      <c r="L126" s="5" t="s">
        <v>383</v>
      </c>
      <c r="M126" s="5">
        <v>58</v>
      </c>
      <c r="N126" s="5"/>
      <c r="O126" s="5"/>
      <c r="P126" s="5"/>
      <c r="Q126" s="5">
        <f t="shared" si="4"/>
        <v>58</v>
      </c>
      <c r="R126" s="5">
        <f t="shared" si="5"/>
        <v>58</v>
      </c>
      <c r="S126" s="5" t="b">
        <f t="shared" si="6"/>
        <v>1</v>
      </c>
      <c r="T126" s="5">
        <f t="shared" si="7"/>
        <v>0</v>
      </c>
    </row>
    <row r="127" spans="9:20" x14ac:dyDescent="0.2">
      <c r="I127" s="5" t="s">
        <v>579</v>
      </c>
      <c r="J127" s="5">
        <v>90</v>
      </c>
      <c r="K127" s="5"/>
      <c r="L127" s="5" t="s">
        <v>579</v>
      </c>
      <c r="M127" s="5">
        <v>90</v>
      </c>
      <c r="N127" s="5"/>
      <c r="O127" s="5"/>
      <c r="P127" s="5"/>
      <c r="Q127" s="5">
        <f t="shared" si="4"/>
        <v>90</v>
      </c>
      <c r="R127" s="5">
        <f t="shared" si="5"/>
        <v>90</v>
      </c>
      <c r="S127" s="5" t="b">
        <f t="shared" si="6"/>
        <v>1</v>
      </c>
      <c r="T127" s="5">
        <f t="shared" si="7"/>
        <v>0</v>
      </c>
    </row>
    <row r="128" spans="9:20" x14ac:dyDescent="0.2">
      <c r="I128" s="5" t="s">
        <v>578</v>
      </c>
      <c r="J128" s="5">
        <v>208</v>
      </c>
      <c r="K128" s="5"/>
      <c r="L128" s="5" t="s">
        <v>578</v>
      </c>
      <c r="M128" s="5">
        <v>208</v>
      </c>
      <c r="N128" s="5"/>
      <c r="O128" s="5"/>
      <c r="P128" s="5"/>
      <c r="Q128" s="5">
        <f t="shared" si="4"/>
        <v>208</v>
      </c>
      <c r="R128" s="5">
        <f t="shared" si="5"/>
        <v>208</v>
      </c>
      <c r="S128" s="5" t="b">
        <f t="shared" si="6"/>
        <v>1</v>
      </c>
      <c r="T128" s="5">
        <f t="shared" si="7"/>
        <v>0</v>
      </c>
    </row>
    <row r="129" spans="9:20" x14ac:dyDescent="0.2">
      <c r="I129" s="5" t="s">
        <v>1126</v>
      </c>
      <c r="J129" s="5">
        <v>72</v>
      </c>
      <c r="K129" s="5"/>
      <c r="L129" s="5" t="s">
        <v>1126</v>
      </c>
      <c r="M129" s="5">
        <v>72</v>
      </c>
      <c r="N129" s="5"/>
      <c r="O129" s="5"/>
      <c r="P129" s="5"/>
      <c r="Q129" s="5">
        <f t="shared" si="4"/>
        <v>72</v>
      </c>
      <c r="R129" s="5">
        <f t="shared" si="5"/>
        <v>72</v>
      </c>
      <c r="S129" s="5" t="b">
        <f t="shared" si="6"/>
        <v>1</v>
      </c>
      <c r="T129" s="5">
        <f t="shared" si="7"/>
        <v>0</v>
      </c>
    </row>
    <row r="130" spans="9:20" x14ac:dyDescent="0.2">
      <c r="I130" s="5" t="s">
        <v>1589</v>
      </c>
      <c r="J130" s="5">
        <v>1</v>
      </c>
      <c r="K130" s="5"/>
      <c r="L130" s="5" t="s">
        <v>1589</v>
      </c>
      <c r="M130" s="5">
        <v>1</v>
      </c>
      <c r="N130" s="5"/>
      <c r="O130" s="5"/>
      <c r="P130" s="5"/>
      <c r="Q130" s="5">
        <f t="shared" si="4"/>
        <v>1</v>
      </c>
      <c r="R130" s="5">
        <f t="shared" si="5"/>
        <v>1</v>
      </c>
      <c r="S130" s="5" t="b">
        <f t="shared" si="6"/>
        <v>1</v>
      </c>
      <c r="T130" s="5">
        <f t="shared" si="7"/>
        <v>0</v>
      </c>
    </row>
    <row r="131" spans="9:20" x14ac:dyDescent="0.2">
      <c r="I131" s="5" t="s">
        <v>390</v>
      </c>
      <c r="J131" s="5">
        <v>1</v>
      </c>
      <c r="K131" s="5"/>
      <c r="L131" s="5" t="s">
        <v>390</v>
      </c>
      <c r="M131" s="5">
        <v>1</v>
      </c>
      <c r="N131" s="5"/>
      <c r="O131" s="5"/>
      <c r="P131" s="5"/>
      <c r="Q131" s="5">
        <f t="shared" si="4"/>
        <v>1</v>
      </c>
      <c r="R131" s="5">
        <f t="shared" si="5"/>
        <v>1</v>
      </c>
      <c r="S131" s="5" t="b">
        <f t="shared" si="6"/>
        <v>1</v>
      </c>
      <c r="T131" s="5">
        <f t="shared" si="7"/>
        <v>0</v>
      </c>
    </row>
    <row r="132" spans="9:20" x14ac:dyDescent="0.2">
      <c r="I132" s="5" t="s">
        <v>385</v>
      </c>
      <c r="J132" s="5">
        <v>1</v>
      </c>
      <c r="K132" s="5"/>
      <c r="L132" s="5" t="s">
        <v>385</v>
      </c>
      <c r="M132" s="5">
        <v>1</v>
      </c>
      <c r="N132" s="5"/>
      <c r="O132" s="5"/>
      <c r="P132" s="5"/>
      <c r="Q132" s="5">
        <f t="shared" si="4"/>
        <v>1</v>
      </c>
      <c r="R132" s="5">
        <f t="shared" si="5"/>
        <v>1</v>
      </c>
      <c r="S132" s="5" t="b">
        <f t="shared" si="6"/>
        <v>1</v>
      </c>
      <c r="T132" s="5">
        <f t="shared" si="7"/>
        <v>0</v>
      </c>
    </row>
    <row r="133" spans="9:20" x14ac:dyDescent="0.2">
      <c r="I133" s="5" t="s">
        <v>55</v>
      </c>
      <c r="J133" s="5">
        <v>1</v>
      </c>
      <c r="K133" s="5"/>
      <c r="L133" s="5" t="s">
        <v>55</v>
      </c>
      <c r="M133" s="5">
        <v>1</v>
      </c>
      <c r="N133" s="5"/>
      <c r="O133" s="5"/>
      <c r="P133" s="5"/>
      <c r="Q133" s="5">
        <f t="shared" ref="Q133:Q196" si="8">VLOOKUP(I133,L:M,2,)</f>
        <v>1</v>
      </c>
      <c r="R133" s="5">
        <f t="shared" ref="R133:R196" si="9">VLOOKUP(L133,I:J,2,)</f>
        <v>1</v>
      </c>
      <c r="S133" s="5" t="b">
        <f t="shared" ref="S133:S196" si="10">Q133=R133</f>
        <v>1</v>
      </c>
      <c r="T133" s="5">
        <f t="shared" ref="T133:T196" si="11">R133-Q133</f>
        <v>0</v>
      </c>
    </row>
    <row r="134" spans="9:20" x14ac:dyDescent="0.2">
      <c r="I134" s="5" t="s">
        <v>143</v>
      </c>
      <c r="J134" s="5">
        <v>10</v>
      </c>
      <c r="K134" s="5"/>
      <c r="L134" s="5" t="s">
        <v>143</v>
      </c>
      <c r="M134" s="5">
        <v>10</v>
      </c>
      <c r="N134" s="5"/>
      <c r="O134" s="5"/>
      <c r="P134" s="5"/>
      <c r="Q134" s="5">
        <f t="shared" si="8"/>
        <v>10</v>
      </c>
      <c r="R134" s="5">
        <f t="shared" si="9"/>
        <v>10</v>
      </c>
      <c r="S134" s="5" t="b">
        <f t="shared" si="10"/>
        <v>1</v>
      </c>
      <c r="T134" s="5">
        <f t="shared" si="11"/>
        <v>0</v>
      </c>
    </row>
    <row r="135" spans="9:20" x14ac:dyDescent="0.2">
      <c r="I135" s="5" t="s">
        <v>1724</v>
      </c>
      <c r="J135" s="5">
        <v>1</v>
      </c>
      <c r="K135" s="5"/>
      <c r="L135" s="5" t="s">
        <v>1724</v>
      </c>
      <c r="M135" s="5">
        <v>1</v>
      </c>
      <c r="N135" s="5"/>
      <c r="O135" s="5"/>
      <c r="P135" s="5"/>
      <c r="Q135" s="5">
        <f t="shared" si="8"/>
        <v>1</v>
      </c>
      <c r="R135" s="5">
        <f t="shared" si="9"/>
        <v>1</v>
      </c>
      <c r="S135" s="5" t="b">
        <f t="shared" si="10"/>
        <v>1</v>
      </c>
      <c r="T135" s="5">
        <f t="shared" si="11"/>
        <v>0</v>
      </c>
    </row>
    <row r="136" spans="9:20" x14ac:dyDescent="0.2">
      <c r="I136" s="5" t="s">
        <v>41</v>
      </c>
      <c r="J136" s="5">
        <v>1</v>
      </c>
      <c r="K136" s="5"/>
      <c r="L136" s="5" t="s">
        <v>41</v>
      </c>
      <c r="M136" s="5">
        <v>1</v>
      </c>
      <c r="N136" s="5"/>
      <c r="O136" s="5"/>
      <c r="P136" s="5"/>
      <c r="Q136" s="5">
        <f t="shared" si="8"/>
        <v>1</v>
      </c>
      <c r="R136" s="5">
        <f t="shared" si="9"/>
        <v>1</v>
      </c>
      <c r="S136" s="5" t="b">
        <f t="shared" si="10"/>
        <v>1</v>
      </c>
      <c r="T136" s="5">
        <f t="shared" si="11"/>
        <v>0</v>
      </c>
    </row>
    <row r="137" spans="9:20" x14ac:dyDescent="0.2">
      <c r="I137" s="5" t="s">
        <v>1277</v>
      </c>
      <c r="J137" s="5">
        <v>1</v>
      </c>
      <c r="K137" s="5"/>
      <c r="L137" s="5" t="s">
        <v>1277</v>
      </c>
      <c r="M137" s="5">
        <v>1</v>
      </c>
      <c r="N137" s="5"/>
      <c r="O137" s="5"/>
      <c r="P137" s="5"/>
      <c r="Q137" s="5">
        <f t="shared" si="8"/>
        <v>1</v>
      </c>
      <c r="R137" s="5">
        <f t="shared" si="9"/>
        <v>1</v>
      </c>
      <c r="S137" s="5" t="b">
        <f t="shared" si="10"/>
        <v>1</v>
      </c>
      <c r="T137" s="5">
        <f t="shared" si="11"/>
        <v>0</v>
      </c>
    </row>
    <row r="138" spans="9:20" x14ac:dyDescent="0.2">
      <c r="I138" s="5" t="s">
        <v>162</v>
      </c>
      <c r="J138" s="5">
        <v>3</v>
      </c>
      <c r="K138" s="5"/>
      <c r="L138" s="5" t="s">
        <v>162</v>
      </c>
      <c r="M138" s="5">
        <v>3</v>
      </c>
      <c r="N138" s="5"/>
      <c r="O138" s="5"/>
      <c r="P138" s="5"/>
      <c r="Q138" s="5">
        <f t="shared" si="8"/>
        <v>3</v>
      </c>
      <c r="R138" s="5">
        <f t="shared" si="9"/>
        <v>3</v>
      </c>
      <c r="S138" s="5" t="b">
        <f t="shared" si="10"/>
        <v>1</v>
      </c>
      <c r="T138" s="5">
        <f t="shared" si="11"/>
        <v>0</v>
      </c>
    </row>
    <row r="139" spans="9:20" x14ac:dyDescent="0.2">
      <c r="I139" s="5" t="s">
        <v>1566</v>
      </c>
      <c r="J139" s="5">
        <v>1</v>
      </c>
      <c r="K139" s="5"/>
      <c r="L139" s="5" t="s">
        <v>1566</v>
      </c>
      <c r="M139" s="26">
        <v>1</v>
      </c>
      <c r="N139" s="5"/>
      <c r="O139" s="5"/>
      <c r="P139" s="5"/>
      <c r="Q139" s="5">
        <f t="shared" si="8"/>
        <v>1</v>
      </c>
      <c r="R139" s="5">
        <f t="shared" si="9"/>
        <v>1</v>
      </c>
      <c r="S139" s="5" t="b">
        <f t="shared" si="10"/>
        <v>1</v>
      </c>
      <c r="T139" s="5">
        <f t="shared" si="11"/>
        <v>0</v>
      </c>
    </row>
    <row r="140" spans="9:20" x14ac:dyDescent="0.2">
      <c r="I140" s="5" t="s">
        <v>14</v>
      </c>
      <c r="J140" s="5">
        <v>199</v>
      </c>
      <c r="K140" s="5"/>
      <c r="L140" s="5" t="s">
        <v>14</v>
      </c>
      <c r="M140" s="5">
        <v>199</v>
      </c>
      <c r="N140" s="5"/>
      <c r="O140" s="5"/>
      <c r="P140" s="5"/>
      <c r="Q140" s="5">
        <f t="shared" si="8"/>
        <v>199</v>
      </c>
      <c r="R140" s="5">
        <f t="shared" si="9"/>
        <v>199</v>
      </c>
      <c r="S140" s="5" t="b">
        <f t="shared" si="10"/>
        <v>1</v>
      </c>
      <c r="T140" s="5">
        <f t="shared" si="11"/>
        <v>0</v>
      </c>
    </row>
    <row r="141" spans="9:20" x14ac:dyDescent="0.2">
      <c r="I141" s="5" t="s">
        <v>1648</v>
      </c>
      <c r="J141" s="5">
        <v>3</v>
      </c>
      <c r="K141" s="5"/>
      <c r="L141" s="5" t="s">
        <v>1648</v>
      </c>
      <c r="M141" s="5">
        <v>3</v>
      </c>
      <c r="N141" s="5"/>
      <c r="O141" s="5"/>
      <c r="P141" s="5"/>
      <c r="Q141" s="5">
        <f t="shared" si="8"/>
        <v>3</v>
      </c>
      <c r="R141" s="5">
        <f t="shared" si="9"/>
        <v>3</v>
      </c>
      <c r="S141" s="5" t="b">
        <f t="shared" si="10"/>
        <v>1</v>
      </c>
      <c r="T141" s="5">
        <f t="shared" si="11"/>
        <v>0</v>
      </c>
    </row>
    <row r="142" spans="9:20" x14ac:dyDescent="0.2">
      <c r="I142" s="5" t="s">
        <v>1354</v>
      </c>
      <c r="J142" s="5">
        <v>3</v>
      </c>
      <c r="K142" s="5"/>
      <c r="L142" s="5" t="s">
        <v>1354</v>
      </c>
      <c r="M142" s="5">
        <v>3</v>
      </c>
      <c r="N142" s="5"/>
      <c r="O142" s="5"/>
      <c r="P142" s="5"/>
      <c r="Q142" s="5">
        <f t="shared" si="8"/>
        <v>3</v>
      </c>
      <c r="R142" s="5">
        <f t="shared" si="9"/>
        <v>3</v>
      </c>
      <c r="S142" s="5" t="b">
        <f t="shared" si="10"/>
        <v>1</v>
      </c>
      <c r="T142" s="5">
        <f t="shared" si="11"/>
        <v>0</v>
      </c>
    </row>
    <row r="143" spans="9:20" x14ac:dyDescent="0.2">
      <c r="I143" s="5" t="s">
        <v>1279</v>
      </c>
      <c r="J143" s="5">
        <v>1</v>
      </c>
      <c r="K143" s="5"/>
      <c r="L143" s="5" t="s">
        <v>1279</v>
      </c>
      <c r="M143" s="5">
        <v>1</v>
      </c>
      <c r="N143" s="5"/>
      <c r="O143" s="5"/>
      <c r="P143" s="5"/>
      <c r="Q143" s="5">
        <f t="shared" si="8"/>
        <v>1</v>
      </c>
      <c r="R143" s="5">
        <f t="shared" si="9"/>
        <v>1</v>
      </c>
      <c r="S143" s="5" t="b">
        <f t="shared" si="10"/>
        <v>1</v>
      </c>
      <c r="T143" s="5">
        <f t="shared" si="11"/>
        <v>0</v>
      </c>
    </row>
    <row r="144" spans="9:20" x14ac:dyDescent="0.2">
      <c r="I144" s="5" t="s">
        <v>16</v>
      </c>
      <c r="J144" s="5">
        <v>8</v>
      </c>
      <c r="K144" s="5"/>
      <c r="L144" s="5" t="s">
        <v>16</v>
      </c>
      <c r="M144" s="5">
        <v>8</v>
      </c>
      <c r="N144" s="5"/>
      <c r="O144" s="5"/>
      <c r="P144" s="5"/>
      <c r="Q144" s="5">
        <f t="shared" si="8"/>
        <v>8</v>
      </c>
      <c r="R144" s="5">
        <f t="shared" si="9"/>
        <v>8</v>
      </c>
      <c r="S144" s="5" t="b">
        <f t="shared" si="10"/>
        <v>1</v>
      </c>
      <c r="T144" s="5">
        <f t="shared" si="11"/>
        <v>0</v>
      </c>
    </row>
    <row r="145" spans="9:20" x14ac:dyDescent="0.2">
      <c r="I145" s="5" t="s">
        <v>1122</v>
      </c>
      <c r="J145" s="5">
        <v>1</v>
      </c>
      <c r="K145" s="5"/>
      <c r="L145" s="5" t="s">
        <v>1122</v>
      </c>
      <c r="M145" s="5">
        <v>1</v>
      </c>
      <c r="N145" s="5"/>
      <c r="O145" s="5"/>
      <c r="P145" s="5"/>
      <c r="Q145" s="5">
        <f t="shared" si="8"/>
        <v>1</v>
      </c>
      <c r="R145" s="5">
        <f t="shared" si="9"/>
        <v>1</v>
      </c>
      <c r="S145" s="5" t="b">
        <f t="shared" si="10"/>
        <v>1</v>
      </c>
      <c r="T145" s="5">
        <f t="shared" si="11"/>
        <v>0</v>
      </c>
    </row>
    <row r="146" spans="9:20" x14ac:dyDescent="0.2">
      <c r="I146" s="5" t="s">
        <v>1531</v>
      </c>
      <c r="J146" s="5">
        <v>1</v>
      </c>
      <c r="K146" s="5"/>
      <c r="L146" s="5" t="s">
        <v>1531</v>
      </c>
      <c r="M146" s="5">
        <v>1</v>
      </c>
      <c r="N146" s="5"/>
      <c r="O146" s="5"/>
      <c r="P146" s="5"/>
      <c r="Q146" s="5">
        <f t="shared" si="8"/>
        <v>1</v>
      </c>
      <c r="R146" s="5">
        <f t="shared" si="9"/>
        <v>1</v>
      </c>
      <c r="S146" s="5" t="b">
        <f t="shared" si="10"/>
        <v>1</v>
      </c>
      <c r="T146" s="5">
        <f t="shared" si="11"/>
        <v>0</v>
      </c>
    </row>
    <row r="147" spans="9:20" x14ac:dyDescent="0.2">
      <c r="I147" s="5" t="s">
        <v>127</v>
      </c>
      <c r="J147" s="5">
        <v>1</v>
      </c>
      <c r="K147" s="5"/>
      <c r="L147" s="5" t="s">
        <v>127</v>
      </c>
      <c r="M147" s="5">
        <v>1</v>
      </c>
      <c r="N147" s="5"/>
      <c r="O147" s="5"/>
      <c r="P147" s="5"/>
      <c r="Q147" s="5">
        <f t="shared" si="8"/>
        <v>1</v>
      </c>
      <c r="R147" s="5">
        <f t="shared" si="9"/>
        <v>1</v>
      </c>
      <c r="S147" s="5" t="b">
        <f t="shared" si="10"/>
        <v>1</v>
      </c>
      <c r="T147" s="5">
        <f t="shared" si="11"/>
        <v>0</v>
      </c>
    </row>
    <row r="148" spans="9:20" x14ac:dyDescent="0.2">
      <c r="I148" s="5" t="s">
        <v>384</v>
      </c>
      <c r="J148" s="5">
        <v>1</v>
      </c>
      <c r="K148" s="5"/>
      <c r="L148" s="5" t="s">
        <v>384</v>
      </c>
      <c r="M148" s="5">
        <v>1</v>
      </c>
      <c r="N148" s="5"/>
      <c r="O148" s="5"/>
      <c r="P148" s="5"/>
      <c r="Q148" s="5">
        <f t="shared" si="8"/>
        <v>1</v>
      </c>
      <c r="R148" s="5">
        <f t="shared" si="9"/>
        <v>1</v>
      </c>
      <c r="S148" s="5" t="b">
        <f t="shared" si="10"/>
        <v>1</v>
      </c>
      <c r="T148" s="5">
        <f t="shared" si="11"/>
        <v>0</v>
      </c>
    </row>
    <row r="149" spans="9:20" x14ac:dyDescent="0.2">
      <c r="I149" s="5" t="s">
        <v>1599</v>
      </c>
      <c r="J149" s="5">
        <v>1</v>
      </c>
      <c r="K149" s="5"/>
      <c r="L149" s="5" t="s">
        <v>1599</v>
      </c>
      <c r="M149" s="5">
        <v>1</v>
      </c>
      <c r="N149" s="5"/>
      <c r="O149" s="5"/>
      <c r="P149" s="5"/>
      <c r="Q149" s="5">
        <f t="shared" si="8"/>
        <v>1</v>
      </c>
      <c r="R149" s="5">
        <f t="shared" si="9"/>
        <v>1</v>
      </c>
      <c r="S149" s="5" t="b">
        <f t="shared" si="10"/>
        <v>1</v>
      </c>
      <c r="T149" s="5">
        <f t="shared" si="11"/>
        <v>0</v>
      </c>
    </row>
    <row r="150" spans="9:20" x14ac:dyDescent="0.2">
      <c r="I150" s="5" t="s">
        <v>1653</v>
      </c>
      <c r="J150" s="5">
        <v>3</v>
      </c>
      <c r="K150" s="5"/>
      <c r="L150" s="5" t="s">
        <v>1653</v>
      </c>
      <c r="M150" s="5">
        <v>3</v>
      </c>
      <c r="N150" s="5"/>
      <c r="O150" s="5"/>
      <c r="P150" s="5"/>
      <c r="Q150" s="5">
        <f t="shared" si="8"/>
        <v>3</v>
      </c>
      <c r="R150" s="5">
        <f t="shared" si="9"/>
        <v>3</v>
      </c>
      <c r="S150" s="5" t="b">
        <f t="shared" si="10"/>
        <v>1</v>
      </c>
      <c r="T150" s="5">
        <f t="shared" si="11"/>
        <v>0</v>
      </c>
    </row>
    <row r="151" spans="9:20" x14ac:dyDescent="0.2">
      <c r="I151" s="5" t="s">
        <v>1658</v>
      </c>
      <c r="J151" s="5">
        <v>3</v>
      </c>
      <c r="K151" s="5"/>
      <c r="L151" s="5" t="s">
        <v>1658</v>
      </c>
      <c r="M151" s="5">
        <v>3</v>
      </c>
      <c r="N151" s="5"/>
      <c r="O151" s="5"/>
      <c r="P151" s="5"/>
      <c r="Q151" s="5">
        <f t="shared" si="8"/>
        <v>3</v>
      </c>
      <c r="R151" s="5">
        <f t="shared" si="9"/>
        <v>3</v>
      </c>
      <c r="S151" s="5" t="b">
        <f t="shared" si="10"/>
        <v>1</v>
      </c>
      <c r="T151" s="5">
        <f t="shared" si="11"/>
        <v>0</v>
      </c>
    </row>
    <row r="152" spans="9:20" x14ac:dyDescent="0.2">
      <c r="I152" s="5" t="s">
        <v>388</v>
      </c>
      <c r="J152" s="5">
        <v>1</v>
      </c>
      <c r="K152" s="5"/>
      <c r="L152" s="5" t="s">
        <v>388</v>
      </c>
      <c r="M152" s="5">
        <v>1</v>
      </c>
      <c r="N152" s="5"/>
      <c r="O152" s="5"/>
      <c r="P152" s="5"/>
      <c r="Q152" s="5">
        <f t="shared" si="8"/>
        <v>1</v>
      </c>
      <c r="R152" s="5">
        <f t="shared" si="9"/>
        <v>1</v>
      </c>
      <c r="S152" s="5" t="b">
        <f t="shared" si="10"/>
        <v>1</v>
      </c>
      <c r="T152" s="5">
        <f t="shared" si="11"/>
        <v>0</v>
      </c>
    </row>
    <row r="153" spans="9:20" x14ac:dyDescent="0.2">
      <c r="I153" s="5" t="s">
        <v>371</v>
      </c>
      <c r="J153" s="5">
        <v>2</v>
      </c>
      <c r="K153" s="5"/>
      <c r="L153" s="5" t="s">
        <v>371</v>
      </c>
      <c r="M153" s="5">
        <v>2</v>
      </c>
      <c r="N153" s="5"/>
      <c r="O153" s="5"/>
      <c r="P153" s="5"/>
      <c r="Q153" s="5">
        <f t="shared" si="8"/>
        <v>2</v>
      </c>
      <c r="R153" s="5">
        <f t="shared" si="9"/>
        <v>2</v>
      </c>
      <c r="S153" s="5" t="b">
        <f t="shared" si="10"/>
        <v>1</v>
      </c>
      <c r="T153" s="5">
        <f t="shared" si="11"/>
        <v>0</v>
      </c>
    </row>
    <row r="154" spans="9:20" x14ac:dyDescent="0.2">
      <c r="I154" s="5" t="s">
        <v>372</v>
      </c>
      <c r="J154" s="5">
        <v>4</v>
      </c>
      <c r="K154" s="5"/>
      <c r="L154" s="5" t="s">
        <v>372</v>
      </c>
      <c r="M154" s="26">
        <v>4</v>
      </c>
      <c r="N154" s="5"/>
      <c r="O154" s="5"/>
      <c r="P154" s="5"/>
      <c r="Q154" s="5">
        <f t="shared" si="8"/>
        <v>4</v>
      </c>
      <c r="R154" s="5">
        <f t="shared" si="9"/>
        <v>4</v>
      </c>
      <c r="S154" s="5" t="b">
        <f t="shared" si="10"/>
        <v>1</v>
      </c>
      <c r="T154" s="5">
        <f t="shared" si="11"/>
        <v>0</v>
      </c>
    </row>
    <row r="155" spans="9:20" x14ac:dyDescent="0.2">
      <c r="I155" s="5" t="s">
        <v>1133</v>
      </c>
      <c r="J155" s="5">
        <v>4</v>
      </c>
      <c r="K155" s="5"/>
      <c r="L155" s="5" t="s">
        <v>1133</v>
      </c>
      <c r="M155" s="5">
        <v>4</v>
      </c>
      <c r="N155" s="5"/>
      <c r="O155" s="5"/>
      <c r="P155" s="5"/>
      <c r="Q155" s="5">
        <f t="shared" si="8"/>
        <v>4</v>
      </c>
      <c r="R155" s="5">
        <f t="shared" si="9"/>
        <v>4</v>
      </c>
      <c r="S155" s="5" t="b">
        <f t="shared" si="10"/>
        <v>1</v>
      </c>
      <c r="T155" s="5">
        <f t="shared" si="11"/>
        <v>0</v>
      </c>
    </row>
    <row r="156" spans="9:20" x14ac:dyDescent="0.2">
      <c r="I156" s="5" t="s">
        <v>585</v>
      </c>
      <c r="J156" s="5">
        <v>3</v>
      </c>
      <c r="K156" s="5"/>
      <c r="L156" s="5" t="s">
        <v>585</v>
      </c>
      <c r="M156" s="5">
        <v>3</v>
      </c>
      <c r="N156" s="5"/>
      <c r="O156" s="5"/>
      <c r="P156" s="5"/>
      <c r="Q156" s="5">
        <f t="shared" si="8"/>
        <v>3</v>
      </c>
      <c r="R156" s="5">
        <f t="shared" si="9"/>
        <v>3</v>
      </c>
      <c r="S156" s="5" t="b">
        <f t="shared" si="10"/>
        <v>1</v>
      </c>
      <c r="T156" s="5">
        <f t="shared" si="11"/>
        <v>0</v>
      </c>
    </row>
    <row r="157" spans="9:20" x14ac:dyDescent="0.2">
      <c r="I157" s="5" t="s">
        <v>1285</v>
      </c>
      <c r="J157" s="5">
        <v>4</v>
      </c>
      <c r="K157" s="5"/>
      <c r="L157" s="5" t="s">
        <v>1285</v>
      </c>
      <c r="M157" s="5">
        <v>4</v>
      </c>
      <c r="N157" s="5"/>
      <c r="O157" s="5"/>
      <c r="P157" s="5"/>
      <c r="Q157" s="5">
        <f t="shared" si="8"/>
        <v>4</v>
      </c>
      <c r="R157" s="5">
        <f t="shared" si="9"/>
        <v>4</v>
      </c>
      <c r="S157" s="5" t="b">
        <f t="shared" si="10"/>
        <v>1</v>
      </c>
      <c r="T157" s="5">
        <f t="shared" si="11"/>
        <v>0</v>
      </c>
    </row>
    <row r="158" spans="9:20" x14ac:dyDescent="0.2">
      <c r="I158" s="5" t="s">
        <v>1670</v>
      </c>
      <c r="J158" s="5">
        <v>9</v>
      </c>
      <c r="K158" s="5"/>
      <c r="L158" s="5" t="s">
        <v>1670</v>
      </c>
      <c r="M158" s="5">
        <v>9</v>
      </c>
      <c r="N158" s="5"/>
      <c r="O158" s="5"/>
      <c r="P158" s="5"/>
      <c r="Q158" s="5">
        <f t="shared" si="8"/>
        <v>9</v>
      </c>
      <c r="R158" s="5">
        <f t="shared" si="9"/>
        <v>9</v>
      </c>
      <c r="S158" s="5" t="b">
        <f t="shared" si="10"/>
        <v>1</v>
      </c>
      <c r="T158" s="5">
        <f t="shared" si="11"/>
        <v>0</v>
      </c>
    </row>
    <row r="159" spans="9:20" x14ac:dyDescent="0.2">
      <c r="I159" s="5" t="s">
        <v>1143</v>
      </c>
      <c r="J159" s="5">
        <v>3</v>
      </c>
      <c r="K159" s="5"/>
      <c r="L159" s="5" t="s">
        <v>1143</v>
      </c>
      <c r="M159" s="5">
        <v>3</v>
      </c>
      <c r="N159" s="5"/>
      <c r="O159" s="5"/>
      <c r="P159" s="5"/>
      <c r="Q159" s="5">
        <f t="shared" si="8"/>
        <v>3</v>
      </c>
      <c r="R159" s="5">
        <f t="shared" si="9"/>
        <v>3</v>
      </c>
      <c r="S159" s="5" t="b">
        <f t="shared" si="10"/>
        <v>1</v>
      </c>
      <c r="T159" s="5">
        <f t="shared" si="11"/>
        <v>0</v>
      </c>
    </row>
    <row r="160" spans="9:20" x14ac:dyDescent="0.2">
      <c r="I160" s="5" t="s">
        <v>1144</v>
      </c>
      <c r="J160" s="5">
        <v>1</v>
      </c>
      <c r="K160" s="5"/>
      <c r="L160" s="5" t="s">
        <v>1144</v>
      </c>
      <c r="M160" s="5">
        <v>1</v>
      </c>
      <c r="N160" s="5"/>
      <c r="O160" s="5"/>
      <c r="P160" s="5"/>
      <c r="Q160" s="5">
        <f t="shared" si="8"/>
        <v>1</v>
      </c>
      <c r="R160" s="5">
        <f t="shared" si="9"/>
        <v>1</v>
      </c>
      <c r="S160" s="5" t="b">
        <f t="shared" si="10"/>
        <v>1</v>
      </c>
      <c r="T160" s="5">
        <f t="shared" si="11"/>
        <v>0</v>
      </c>
    </row>
    <row r="161" spans="9:20" x14ac:dyDescent="0.2">
      <c r="I161" s="5" t="s">
        <v>1552</v>
      </c>
      <c r="J161" s="5">
        <v>2</v>
      </c>
      <c r="K161" s="5"/>
      <c r="L161" s="5" t="s">
        <v>1552</v>
      </c>
      <c r="M161" s="5">
        <v>2</v>
      </c>
      <c r="N161" s="5"/>
      <c r="O161" s="5"/>
      <c r="P161" s="5"/>
      <c r="Q161" s="5">
        <f t="shared" si="8"/>
        <v>2</v>
      </c>
      <c r="R161" s="5">
        <f t="shared" si="9"/>
        <v>2</v>
      </c>
      <c r="S161" s="5" t="b">
        <f t="shared" si="10"/>
        <v>1</v>
      </c>
      <c r="T161" s="5">
        <f t="shared" si="11"/>
        <v>0</v>
      </c>
    </row>
    <row r="162" spans="9:20" x14ac:dyDescent="0.2">
      <c r="I162" s="5" t="s">
        <v>1584</v>
      </c>
      <c r="J162" s="5">
        <v>1</v>
      </c>
      <c r="K162" s="5"/>
      <c r="L162" s="5" t="s">
        <v>1584</v>
      </c>
      <c r="M162" s="5">
        <v>1</v>
      </c>
      <c r="N162" s="5"/>
      <c r="O162" s="5"/>
      <c r="P162" s="5"/>
      <c r="Q162" s="5">
        <f t="shared" si="8"/>
        <v>1</v>
      </c>
      <c r="R162" s="5">
        <f t="shared" si="9"/>
        <v>1</v>
      </c>
      <c r="S162" s="5" t="b">
        <f t="shared" si="10"/>
        <v>1</v>
      </c>
      <c r="T162" s="5">
        <f t="shared" si="11"/>
        <v>0</v>
      </c>
    </row>
    <row r="163" spans="9:20" x14ac:dyDescent="0.2">
      <c r="I163" s="5" t="s">
        <v>386</v>
      </c>
      <c r="J163" s="5">
        <v>3</v>
      </c>
      <c r="K163" s="5"/>
      <c r="L163" s="5" t="s">
        <v>386</v>
      </c>
      <c r="M163" s="5">
        <v>3</v>
      </c>
      <c r="N163" s="5"/>
      <c r="O163" s="5"/>
      <c r="P163" s="5"/>
      <c r="Q163" s="5">
        <f t="shared" si="8"/>
        <v>3</v>
      </c>
      <c r="R163" s="5">
        <f t="shared" si="9"/>
        <v>3</v>
      </c>
      <c r="S163" s="5" t="b">
        <f t="shared" si="10"/>
        <v>1</v>
      </c>
      <c r="T163" s="5">
        <f t="shared" si="11"/>
        <v>0</v>
      </c>
    </row>
    <row r="164" spans="9:20" x14ac:dyDescent="0.2">
      <c r="I164" s="5" t="s">
        <v>1677</v>
      </c>
      <c r="J164" s="5">
        <v>5</v>
      </c>
      <c r="K164" s="5"/>
      <c r="L164" s="5" t="s">
        <v>1677</v>
      </c>
      <c r="M164" s="5">
        <v>5</v>
      </c>
      <c r="N164" s="5"/>
      <c r="O164" s="5"/>
      <c r="P164" s="5"/>
      <c r="Q164" s="5">
        <f t="shared" si="8"/>
        <v>5</v>
      </c>
      <c r="R164" s="5">
        <f t="shared" si="9"/>
        <v>5</v>
      </c>
      <c r="S164" s="5" t="b">
        <f t="shared" si="10"/>
        <v>1</v>
      </c>
      <c r="T164" s="5">
        <f t="shared" si="11"/>
        <v>0</v>
      </c>
    </row>
    <row r="165" spans="9:20" x14ac:dyDescent="0.2">
      <c r="I165" s="5" t="s">
        <v>1546</v>
      </c>
      <c r="J165" s="5">
        <v>4</v>
      </c>
      <c r="K165" s="5"/>
      <c r="L165" s="5" t="s">
        <v>1546</v>
      </c>
      <c r="M165" s="5">
        <v>4</v>
      </c>
      <c r="N165" s="5"/>
      <c r="O165" s="5"/>
      <c r="P165" s="5"/>
      <c r="Q165" s="5">
        <f t="shared" si="8"/>
        <v>4</v>
      </c>
      <c r="R165" s="5">
        <f t="shared" si="9"/>
        <v>4</v>
      </c>
      <c r="S165" s="5" t="b">
        <f t="shared" si="10"/>
        <v>1</v>
      </c>
      <c r="T165" s="5">
        <f t="shared" si="11"/>
        <v>0</v>
      </c>
    </row>
    <row r="166" spans="9:20" x14ac:dyDescent="0.2">
      <c r="I166" s="25" t="s">
        <v>1309</v>
      </c>
      <c r="J166" s="25">
        <v>0</v>
      </c>
      <c r="K166" s="25"/>
      <c r="L166" s="25" t="s">
        <v>1309</v>
      </c>
      <c r="M166" s="25">
        <v>1</v>
      </c>
      <c r="N166" s="25"/>
      <c r="O166" s="25"/>
      <c r="P166" s="25" t="s">
        <v>1770</v>
      </c>
      <c r="Q166" s="5">
        <f t="shared" si="8"/>
        <v>1</v>
      </c>
      <c r="R166" s="5">
        <f t="shared" si="9"/>
        <v>0</v>
      </c>
      <c r="S166" s="5" t="b">
        <f t="shared" si="10"/>
        <v>0</v>
      </c>
      <c r="T166" s="5">
        <f t="shared" si="11"/>
        <v>-1</v>
      </c>
    </row>
    <row r="167" spans="9:20" x14ac:dyDescent="0.2">
      <c r="I167" t="s">
        <v>1141</v>
      </c>
      <c r="J167" s="26">
        <v>17</v>
      </c>
      <c r="K167" s="5"/>
      <c r="L167" s="5" t="s">
        <v>1141</v>
      </c>
      <c r="M167" s="5">
        <v>17</v>
      </c>
      <c r="N167" s="5"/>
      <c r="O167" s="5"/>
      <c r="P167" s="5"/>
      <c r="Q167" s="5">
        <f t="shared" si="8"/>
        <v>17</v>
      </c>
      <c r="R167" s="5">
        <f t="shared" si="9"/>
        <v>17</v>
      </c>
      <c r="S167" s="5" t="b">
        <f t="shared" si="10"/>
        <v>1</v>
      </c>
      <c r="T167" s="5">
        <f t="shared" si="11"/>
        <v>0</v>
      </c>
    </row>
    <row r="168" spans="9:20" x14ac:dyDescent="0.2">
      <c r="I168" s="5" t="s">
        <v>1594</v>
      </c>
      <c r="J168" s="5">
        <v>1</v>
      </c>
      <c r="K168" s="5"/>
      <c r="L168" s="5" t="s">
        <v>1594</v>
      </c>
      <c r="M168" s="5">
        <v>1</v>
      </c>
      <c r="N168" s="5"/>
      <c r="O168" s="5"/>
      <c r="P168" s="5"/>
      <c r="Q168" s="5">
        <f t="shared" si="8"/>
        <v>1</v>
      </c>
      <c r="R168" s="5">
        <f t="shared" si="9"/>
        <v>1</v>
      </c>
      <c r="S168" s="5" t="b">
        <f t="shared" si="10"/>
        <v>1</v>
      </c>
      <c r="T168" s="5">
        <f t="shared" si="11"/>
        <v>0</v>
      </c>
    </row>
    <row r="169" spans="9:20" x14ac:dyDescent="0.2">
      <c r="I169" s="5" t="s">
        <v>389</v>
      </c>
      <c r="J169" s="5">
        <v>1</v>
      </c>
      <c r="K169" s="5"/>
      <c r="L169" s="5" t="s">
        <v>389</v>
      </c>
      <c r="M169" s="5">
        <v>1</v>
      </c>
      <c r="N169" s="5"/>
      <c r="O169" s="5"/>
      <c r="P169" s="5"/>
      <c r="Q169" s="5">
        <f t="shared" si="8"/>
        <v>1</v>
      </c>
      <c r="R169" s="5">
        <f t="shared" si="9"/>
        <v>1</v>
      </c>
      <c r="S169" s="5" t="b">
        <f t="shared" si="10"/>
        <v>1</v>
      </c>
      <c r="T169" s="5">
        <f t="shared" si="11"/>
        <v>0</v>
      </c>
    </row>
    <row r="170" spans="9:20" x14ac:dyDescent="0.2">
      <c r="I170" s="5" t="s">
        <v>1605</v>
      </c>
      <c r="J170" s="5">
        <v>1</v>
      </c>
      <c r="K170" s="5"/>
      <c r="L170" s="5" t="s">
        <v>1605</v>
      </c>
      <c r="M170" s="5">
        <v>1</v>
      </c>
      <c r="N170" s="5"/>
      <c r="O170" s="5"/>
      <c r="P170" s="5"/>
      <c r="Q170" s="5">
        <f t="shared" si="8"/>
        <v>1</v>
      </c>
      <c r="R170" s="5">
        <f t="shared" si="9"/>
        <v>1</v>
      </c>
      <c r="S170" s="5" t="b">
        <f t="shared" si="10"/>
        <v>1</v>
      </c>
      <c r="T170" s="5">
        <f t="shared" si="11"/>
        <v>0</v>
      </c>
    </row>
    <row r="171" spans="9:20" x14ac:dyDescent="0.2">
      <c r="I171" s="5" t="s">
        <v>1542</v>
      </c>
      <c r="J171" s="5">
        <v>1</v>
      </c>
      <c r="K171" s="5"/>
      <c r="L171" s="5" t="s">
        <v>1542</v>
      </c>
      <c r="M171" s="5">
        <v>1</v>
      </c>
      <c r="N171" s="5"/>
      <c r="O171" s="5"/>
      <c r="P171" s="5"/>
      <c r="Q171" s="5">
        <f t="shared" si="8"/>
        <v>1</v>
      </c>
      <c r="R171" s="5">
        <f t="shared" si="9"/>
        <v>1</v>
      </c>
      <c r="S171" s="5" t="b">
        <f t="shared" si="10"/>
        <v>1</v>
      </c>
      <c r="T171" s="5">
        <f t="shared" si="11"/>
        <v>0</v>
      </c>
    </row>
    <row r="172" spans="9:20" x14ac:dyDescent="0.2">
      <c r="I172" s="5" t="s">
        <v>364</v>
      </c>
      <c r="J172" s="5">
        <v>5</v>
      </c>
      <c r="K172" s="5"/>
      <c r="L172" s="5" t="s">
        <v>364</v>
      </c>
      <c r="M172" s="5">
        <v>5</v>
      </c>
      <c r="N172" s="5"/>
      <c r="O172" s="5"/>
      <c r="P172" s="5"/>
      <c r="Q172" s="5">
        <f t="shared" si="8"/>
        <v>5</v>
      </c>
      <c r="R172" s="5">
        <f t="shared" si="9"/>
        <v>5</v>
      </c>
      <c r="S172" s="5" t="b">
        <f t="shared" si="10"/>
        <v>1</v>
      </c>
      <c r="T172" s="5">
        <f t="shared" si="11"/>
        <v>0</v>
      </c>
    </row>
    <row r="173" spans="9:20" x14ac:dyDescent="0.2">
      <c r="I173" s="5" t="s">
        <v>59</v>
      </c>
      <c r="J173" s="5">
        <v>12</v>
      </c>
      <c r="K173" s="5"/>
      <c r="L173" s="5" t="s">
        <v>59</v>
      </c>
      <c r="M173" s="5">
        <v>12</v>
      </c>
      <c r="N173" s="5"/>
      <c r="O173" s="5"/>
      <c r="P173" s="5"/>
      <c r="Q173" s="5">
        <f t="shared" si="8"/>
        <v>12</v>
      </c>
      <c r="R173" s="5">
        <f t="shared" si="9"/>
        <v>12</v>
      </c>
      <c r="S173" s="5" t="b">
        <f t="shared" si="10"/>
        <v>1</v>
      </c>
      <c r="T173" s="5">
        <f t="shared" si="11"/>
        <v>0</v>
      </c>
    </row>
    <row r="174" spans="9:20" x14ac:dyDescent="0.2">
      <c r="I174" s="5" t="s">
        <v>1150</v>
      </c>
      <c r="J174" s="5">
        <v>2</v>
      </c>
      <c r="K174" s="5"/>
      <c r="L174" s="5" t="s">
        <v>1150</v>
      </c>
      <c r="M174" s="5">
        <v>2</v>
      </c>
      <c r="N174" s="5"/>
      <c r="O174" s="5"/>
      <c r="P174" s="5"/>
      <c r="Q174" s="5">
        <f t="shared" si="8"/>
        <v>2</v>
      </c>
      <c r="R174" s="5">
        <f t="shared" si="9"/>
        <v>2</v>
      </c>
      <c r="S174" s="5" t="b">
        <f t="shared" si="10"/>
        <v>1</v>
      </c>
      <c r="T174" s="5">
        <f t="shared" si="11"/>
        <v>0</v>
      </c>
    </row>
    <row r="175" spans="9:20" x14ac:dyDescent="0.2">
      <c r="I175" s="5" t="s">
        <v>167</v>
      </c>
      <c r="J175" s="5">
        <v>1</v>
      </c>
      <c r="K175" s="5"/>
      <c r="L175" s="5" t="s">
        <v>167</v>
      </c>
      <c r="M175" s="5">
        <v>1</v>
      </c>
      <c r="N175" s="5"/>
      <c r="O175" s="5"/>
      <c r="P175" s="5"/>
      <c r="Q175" s="5">
        <f t="shared" si="8"/>
        <v>1</v>
      </c>
      <c r="R175" s="5">
        <f t="shared" si="9"/>
        <v>1</v>
      </c>
      <c r="S175" s="5" t="b">
        <f t="shared" si="10"/>
        <v>1</v>
      </c>
      <c r="T175" s="5">
        <f t="shared" si="11"/>
        <v>0</v>
      </c>
    </row>
    <row r="176" spans="9:20" x14ac:dyDescent="0.2">
      <c r="I176" s="5" t="s">
        <v>1411</v>
      </c>
      <c r="J176" s="5">
        <v>6</v>
      </c>
      <c r="K176" s="5"/>
      <c r="L176" s="5" t="s">
        <v>1411</v>
      </c>
      <c r="M176" s="5">
        <v>6</v>
      </c>
      <c r="N176" s="5"/>
      <c r="O176" s="5"/>
      <c r="P176" s="5"/>
      <c r="Q176" s="5">
        <f t="shared" si="8"/>
        <v>6</v>
      </c>
      <c r="R176" s="5">
        <f t="shared" si="9"/>
        <v>6</v>
      </c>
      <c r="S176" s="5" t="b">
        <f t="shared" si="10"/>
        <v>1</v>
      </c>
      <c r="T176" s="5">
        <f t="shared" si="11"/>
        <v>0</v>
      </c>
    </row>
    <row r="177" spans="9:20" x14ac:dyDescent="0.2">
      <c r="I177" s="5" t="s">
        <v>1510</v>
      </c>
      <c r="J177" s="5">
        <v>1</v>
      </c>
      <c r="K177" s="5"/>
      <c r="L177" s="5" t="s">
        <v>1510</v>
      </c>
      <c r="M177" s="5">
        <v>1</v>
      </c>
      <c r="N177" s="5"/>
      <c r="O177" s="5"/>
      <c r="P177" s="5"/>
      <c r="Q177" s="5">
        <f t="shared" si="8"/>
        <v>1</v>
      </c>
      <c r="R177" s="5">
        <f t="shared" si="9"/>
        <v>1</v>
      </c>
      <c r="S177" s="5" t="b">
        <f t="shared" si="10"/>
        <v>1</v>
      </c>
      <c r="T177" s="5">
        <f t="shared" si="11"/>
        <v>0</v>
      </c>
    </row>
    <row r="178" spans="9:20" x14ac:dyDescent="0.2">
      <c r="I178" s="5" t="s">
        <v>69</v>
      </c>
      <c r="J178" s="5">
        <v>3</v>
      </c>
      <c r="K178" s="5"/>
      <c r="L178" s="5" t="s">
        <v>69</v>
      </c>
      <c r="M178" s="5">
        <v>3</v>
      </c>
      <c r="N178" s="5"/>
      <c r="O178" s="5"/>
      <c r="P178" s="5"/>
      <c r="Q178" s="5">
        <f t="shared" si="8"/>
        <v>3</v>
      </c>
      <c r="R178" s="5">
        <f t="shared" si="9"/>
        <v>3</v>
      </c>
      <c r="S178" s="5" t="b">
        <f t="shared" si="10"/>
        <v>1</v>
      </c>
      <c r="T178" s="5">
        <f t="shared" si="11"/>
        <v>0</v>
      </c>
    </row>
    <row r="179" spans="9:20" x14ac:dyDescent="0.2">
      <c r="I179" s="5" t="s">
        <v>1146</v>
      </c>
      <c r="J179" s="5">
        <v>1</v>
      </c>
      <c r="K179" s="5"/>
      <c r="L179" s="5" t="s">
        <v>1146</v>
      </c>
      <c r="M179" s="5">
        <v>1</v>
      </c>
      <c r="N179" s="5"/>
      <c r="O179" s="5"/>
      <c r="P179" s="5"/>
      <c r="Q179" s="5">
        <f t="shared" si="8"/>
        <v>1</v>
      </c>
      <c r="R179" s="5">
        <f t="shared" si="9"/>
        <v>1</v>
      </c>
      <c r="S179" s="5" t="b">
        <f t="shared" si="10"/>
        <v>1</v>
      </c>
      <c r="T179" s="5">
        <f t="shared" si="11"/>
        <v>0</v>
      </c>
    </row>
    <row r="180" spans="9:20" x14ac:dyDescent="0.2">
      <c r="I180" s="5" t="s">
        <v>1288</v>
      </c>
      <c r="J180" s="5">
        <v>1</v>
      </c>
      <c r="K180" s="5"/>
      <c r="L180" s="5" t="s">
        <v>1288</v>
      </c>
      <c r="M180" s="5">
        <v>1</v>
      </c>
      <c r="N180" s="5"/>
      <c r="O180" s="5"/>
      <c r="P180" s="5"/>
      <c r="Q180" s="5">
        <f t="shared" si="8"/>
        <v>1</v>
      </c>
      <c r="R180" s="5">
        <f t="shared" si="9"/>
        <v>1</v>
      </c>
      <c r="S180" s="5" t="b">
        <f t="shared" si="10"/>
        <v>1</v>
      </c>
      <c r="T180" s="5">
        <f t="shared" si="11"/>
        <v>0</v>
      </c>
    </row>
    <row r="181" spans="9:20" x14ac:dyDescent="0.2">
      <c r="I181" s="5" t="s">
        <v>10</v>
      </c>
      <c r="J181" s="5">
        <v>46</v>
      </c>
      <c r="K181" s="5"/>
      <c r="L181" s="5" t="s">
        <v>10</v>
      </c>
      <c r="M181" s="5">
        <v>46</v>
      </c>
      <c r="N181" s="5"/>
      <c r="O181" s="5"/>
      <c r="P181" s="5"/>
      <c r="Q181" s="5">
        <f t="shared" si="8"/>
        <v>46</v>
      </c>
      <c r="R181" s="5">
        <f t="shared" si="9"/>
        <v>46</v>
      </c>
      <c r="S181" s="5" t="b">
        <f t="shared" si="10"/>
        <v>1</v>
      </c>
      <c r="T181" s="5">
        <f t="shared" si="11"/>
        <v>0</v>
      </c>
    </row>
    <row r="182" spans="9:20" x14ac:dyDescent="0.2">
      <c r="I182" s="5" t="s">
        <v>15</v>
      </c>
      <c r="J182" s="5">
        <v>2</v>
      </c>
      <c r="K182" s="5"/>
      <c r="L182" s="5" t="s">
        <v>15</v>
      </c>
      <c r="M182" s="5">
        <v>2</v>
      </c>
      <c r="N182" s="5"/>
      <c r="O182" s="5"/>
      <c r="P182" s="5"/>
      <c r="Q182" s="5">
        <f t="shared" si="8"/>
        <v>2</v>
      </c>
      <c r="R182" s="5">
        <f t="shared" si="9"/>
        <v>2</v>
      </c>
      <c r="S182" s="5" t="b">
        <f t="shared" si="10"/>
        <v>1</v>
      </c>
      <c r="T182" s="5">
        <f t="shared" si="11"/>
        <v>0</v>
      </c>
    </row>
    <row r="183" spans="9:20" x14ac:dyDescent="0.2">
      <c r="I183" s="5" t="s">
        <v>1686</v>
      </c>
      <c r="J183" s="5">
        <v>6</v>
      </c>
      <c r="K183" s="5"/>
      <c r="L183" s="5" t="s">
        <v>1686</v>
      </c>
      <c r="M183" s="5">
        <v>6</v>
      </c>
      <c r="N183" s="5"/>
      <c r="O183" s="5"/>
      <c r="P183" s="5"/>
      <c r="Q183" s="5">
        <f t="shared" si="8"/>
        <v>6</v>
      </c>
      <c r="R183" s="5">
        <f t="shared" si="9"/>
        <v>6</v>
      </c>
      <c r="S183" s="5" t="b">
        <f t="shared" si="10"/>
        <v>1</v>
      </c>
      <c r="T183" s="5">
        <f t="shared" si="11"/>
        <v>0</v>
      </c>
    </row>
    <row r="184" spans="9:20" x14ac:dyDescent="0.2">
      <c r="I184" s="5" t="s">
        <v>1139</v>
      </c>
      <c r="J184" s="5">
        <v>16</v>
      </c>
      <c r="K184" s="5"/>
      <c r="L184" s="5" t="s">
        <v>1139</v>
      </c>
      <c r="M184" s="5">
        <v>16</v>
      </c>
      <c r="N184" s="5"/>
      <c r="O184" s="5"/>
      <c r="P184" s="8"/>
      <c r="Q184" s="5">
        <f t="shared" si="8"/>
        <v>16</v>
      </c>
      <c r="R184" s="5">
        <f t="shared" si="9"/>
        <v>16</v>
      </c>
      <c r="S184" s="5" t="b">
        <f t="shared" si="10"/>
        <v>1</v>
      </c>
      <c r="T184" s="5">
        <f t="shared" si="11"/>
        <v>0</v>
      </c>
    </row>
    <row r="185" spans="9:20" x14ac:dyDescent="0.2">
      <c r="I185" s="5" t="s">
        <v>1342</v>
      </c>
      <c r="J185" s="5">
        <v>2</v>
      </c>
      <c r="K185" s="5"/>
      <c r="L185" s="5" t="s">
        <v>1342</v>
      </c>
      <c r="M185" s="5">
        <v>2</v>
      </c>
      <c r="N185" s="5"/>
      <c r="O185" s="5"/>
      <c r="P185" s="5"/>
      <c r="Q185" s="5">
        <f t="shared" si="8"/>
        <v>2</v>
      </c>
      <c r="R185" s="5">
        <f t="shared" si="9"/>
        <v>2</v>
      </c>
      <c r="S185" s="5" t="b">
        <f t="shared" si="10"/>
        <v>1</v>
      </c>
      <c r="T185" s="5">
        <f t="shared" si="11"/>
        <v>0</v>
      </c>
    </row>
    <row r="186" spans="9:20" x14ac:dyDescent="0.2">
      <c r="I186" s="5" t="s">
        <v>367</v>
      </c>
      <c r="J186" s="5">
        <v>1</v>
      </c>
      <c r="K186" s="5"/>
      <c r="L186" s="5" t="s">
        <v>367</v>
      </c>
      <c r="M186" s="5">
        <v>1</v>
      </c>
      <c r="N186" s="5"/>
      <c r="O186" s="5"/>
      <c r="P186" s="5"/>
      <c r="Q186" s="5">
        <f t="shared" si="8"/>
        <v>1</v>
      </c>
      <c r="R186" s="5">
        <f t="shared" si="9"/>
        <v>1</v>
      </c>
      <c r="S186" s="5" t="b">
        <f t="shared" si="10"/>
        <v>1</v>
      </c>
      <c r="T186" s="5">
        <f t="shared" si="11"/>
        <v>0</v>
      </c>
    </row>
    <row r="187" spans="9:20" x14ac:dyDescent="0.2">
      <c r="I187" s="5" t="s">
        <v>474</v>
      </c>
      <c r="J187" s="5">
        <v>21</v>
      </c>
      <c r="K187" s="5"/>
      <c r="L187" s="5" t="s">
        <v>474</v>
      </c>
      <c r="M187" s="5">
        <v>21</v>
      </c>
      <c r="N187" s="5"/>
      <c r="O187" s="5"/>
      <c r="P187" s="5"/>
      <c r="Q187" s="5">
        <f t="shared" si="8"/>
        <v>21</v>
      </c>
      <c r="R187" s="5">
        <f t="shared" si="9"/>
        <v>21</v>
      </c>
      <c r="S187" s="5" t="b">
        <f t="shared" si="10"/>
        <v>1</v>
      </c>
      <c r="T187" s="5">
        <f t="shared" si="11"/>
        <v>0</v>
      </c>
    </row>
    <row r="188" spans="9:20" x14ac:dyDescent="0.2">
      <c r="I188" s="5" t="s">
        <v>86</v>
      </c>
      <c r="J188" s="5">
        <v>2</v>
      </c>
      <c r="K188" s="5"/>
      <c r="L188" s="5" t="s">
        <v>86</v>
      </c>
      <c r="M188" s="5">
        <v>2</v>
      </c>
      <c r="N188" s="5"/>
      <c r="O188" s="5"/>
      <c r="P188" s="5"/>
      <c r="Q188" s="5">
        <f t="shared" si="8"/>
        <v>2</v>
      </c>
      <c r="R188" s="5">
        <f t="shared" si="9"/>
        <v>2</v>
      </c>
      <c r="S188" s="5" t="b">
        <f t="shared" si="10"/>
        <v>1</v>
      </c>
      <c r="T188" s="5">
        <f t="shared" si="11"/>
        <v>0</v>
      </c>
    </row>
    <row r="189" spans="9:20" x14ac:dyDescent="0.2">
      <c r="I189" s="5" t="s">
        <v>1535</v>
      </c>
      <c r="J189" s="5">
        <v>10</v>
      </c>
      <c r="K189" s="5"/>
      <c r="L189" s="5" t="s">
        <v>1535</v>
      </c>
      <c r="M189" s="5">
        <v>10</v>
      </c>
      <c r="N189" s="5"/>
      <c r="O189" s="5"/>
      <c r="P189" s="5"/>
      <c r="Q189" s="5">
        <f t="shared" si="8"/>
        <v>10</v>
      </c>
      <c r="R189" s="5">
        <f t="shared" si="9"/>
        <v>10</v>
      </c>
      <c r="S189" s="5" t="b">
        <f t="shared" si="10"/>
        <v>1</v>
      </c>
      <c r="T189" s="5">
        <f t="shared" si="11"/>
        <v>0</v>
      </c>
    </row>
    <row r="190" spans="9:20" x14ac:dyDescent="0.2">
      <c r="I190" s="5" t="s">
        <v>1281</v>
      </c>
      <c r="J190" s="5">
        <v>1</v>
      </c>
      <c r="K190" s="5"/>
      <c r="L190" s="5" t="s">
        <v>1281</v>
      </c>
      <c r="M190" s="5">
        <v>1</v>
      </c>
      <c r="N190" s="5"/>
      <c r="O190" s="5"/>
      <c r="P190" s="5"/>
      <c r="Q190" s="5">
        <f t="shared" si="8"/>
        <v>1</v>
      </c>
      <c r="R190" s="5">
        <f t="shared" si="9"/>
        <v>1</v>
      </c>
      <c r="S190" s="5" t="b">
        <f t="shared" si="10"/>
        <v>1</v>
      </c>
      <c r="T190" s="5">
        <f t="shared" si="11"/>
        <v>0</v>
      </c>
    </row>
    <row r="191" spans="9:20" x14ac:dyDescent="0.2">
      <c r="I191" s="5" t="s">
        <v>1527</v>
      </c>
      <c r="J191" s="5">
        <v>1</v>
      </c>
      <c r="K191" s="5"/>
      <c r="L191" s="5" t="s">
        <v>1527</v>
      </c>
      <c r="M191" s="5">
        <v>1</v>
      </c>
      <c r="N191" s="5"/>
      <c r="O191" s="5"/>
      <c r="P191" s="5"/>
      <c r="Q191" s="5">
        <f t="shared" si="8"/>
        <v>1</v>
      </c>
      <c r="R191" s="5">
        <f t="shared" si="9"/>
        <v>1</v>
      </c>
      <c r="S191" s="5" t="b">
        <f t="shared" si="10"/>
        <v>1</v>
      </c>
      <c r="T191" s="5">
        <f t="shared" si="11"/>
        <v>0</v>
      </c>
    </row>
    <row r="192" spans="9:20" x14ac:dyDescent="0.2">
      <c r="I192" s="5" t="s">
        <v>1626</v>
      </c>
      <c r="J192" s="5">
        <v>2</v>
      </c>
      <c r="K192" s="5"/>
      <c r="L192" s="5" t="s">
        <v>1626</v>
      </c>
      <c r="M192" s="5">
        <v>2</v>
      </c>
      <c r="N192" s="5"/>
      <c r="O192" s="5"/>
      <c r="P192" s="5"/>
      <c r="Q192" s="5">
        <f t="shared" si="8"/>
        <v>2</v>
      </c>
      <c r="R192" s="5">
        <f t="shared" si="9"/>
        <v>2</v>
      </c>
      <c r="S192" s="5" t="b">
        <f t="shared" si="10"/>
        <v>1</v>
      </c>
      <c r="T192" s="5">
        <f t="shared" si="11"/>
        <v>0</v>
      </c>
    </row>
    <row r="193" spans="9:20" x14ac:dyDescent="0.2">
      <c r="I193" s="5" t="s">
        <v>27</v>
      </c>
      <c r="J193" s="5">
        <v>2</v>
      </c>
      <c r="K193" s="5"/>
      <c r="L193" s="5" t="s">
        <v>27</v>
      </c>
      <c r="M193" s="5">
        <v>2</v>
      </c>
      <c r="N193" s="5"/>
      <c r="O193" s="5"/>
      <c r="P193" s="5"/>
      <c r="Q193" s="5">
        <f t="shared" si="8"/>
        <v>2</v>
      </c>
      <c r="R193" s="5">
        <f t="shared" si="9"/>
        <v>2</v>
      </c>
      <c r="S193" s="5" t="b">
        <f t="shared" si="10"/>
        <v>1</v>
      </c>
      <c r="T193" s="5">
        <f t="shared" si="11"/>
        <v>0</v>
      </c>
    </row>
    <row r="194" spans="9:20" x14ac:dyDescent="0.2">
      <c r="I194" s="5" t="s">
        <v>391</v>
      </c>
      <c r="J194" s="5">
        <v>3</v>
      </c>
      <c r="K194" s="5"/>
      <c r="L194" s="5" t="s">
        <v>391</v>
      </c>
      <c r="M194" s="5">
        <v>3</v>
      </c>
      <c r="N194" s="5"/>
      <c r="O194" s="5"/>
      <c r="P194" s="5"/>
      <c r="Q194" s="5">
        <f t="shared" si="8"/>
        <v>3</v>
      </c>
      <c r="R194" s="5">
        <f t="shared" si="9"/>
        <v>3</v>
      </c>
      <c r="S194" s="5" t="b">
        <f t="shared" si="10"/>
        <v>1</v>
      </c>
      <c r="T194" s="5">
        <f t="shared" si="11"/>
        <v>0</v>
      </c>
    </row>
    <row r="195" spans="9:20" x14ac:dyDescent="0.2">
      <c r="I195" s="5" t="s">
        <v>1556</v>
      </c>
      <c r="J195" s="5">
        <v>3</v>
      </c>
      <c r="K195" s="5"/>
      <c r="L195" s="5" t="s">
        <v>1556</v>
      </c>
      <c r="M195" s="5">
        <v>3</v>
      </c>
      <c r="N195" s="5"/>
      <c r="O195" s="5"/>
      <c r="P195" s="5"/>
      <c r="Q195" s="5">
        <f t="shared" si="8"/>
        <v>3</v>
      </c>
      <c r="R195" s="5">
        <f t="shared" si="9"/>
        <v>3</v>
      </c>
      <c r="S195" s="5" t="b">
        <f t="shared" si="10"/>
        <v>1</v>
      </c>
      <c r="T195" s="5">
        <f t="shared" si="11"/>
        <v>0</v>
      </c>
    </row>
    <row r="196" spans="9:20" x14ac:dyDescent="0.2">
      <c r="I196" s="5" t="s">
        <v>65</v>
      </c>
      <c r="J196" s="5">
        <v>20</v>
      </c>
      <c r="K196" s="5"/>
      <c r="L196" s="5" t="s">
        <v>65</v>
      </c>
      <c r="M196" s="5">
        <v>20</v>
      </c>
      <c r="N196" s="5"/>
      <c r="O196" s="5"/>
      <c r="P196" s="5"/>
      <c r="Q196" s="5">
        <f t="shared" si="8"/>
        <v>20</v>
      </c>
      <c r="R196" s="5">
        <f t="shared" si="9"/>
        <v>20</v>
      </c>
      <c r="S196" s="5" t="b">
        <f t="shared" si="10"/>
        <v>1</v>
      </c>
      <c r="T196" s="5">
        <f t="shared" si="11"/>
        <v>0</v>
      </c>
    </row>
    <row r="197" spans="9:20" x14ac:dyDescent="0.2">
      <c r="I197" s="5" t="s">
        <v>583</v>
      </c>
      <c r="J197" s="5">
        <v>48</v>
      </c>
      <c r="K197" s="5"/>
      <c r="L197" s="5" t="s">
        <v>583</v>
      </c>
      <c r="M197" s="26">
        <v>48</v>
      </c>
      <c r="N197" s="5"/>
      <c r="O197" s="5"/>
      <c r="P197" s="5"/>
      <c r="Q197" s="5">
        <f t="shared" ref="Q197:Q211" si="12">VLOOKUP(I197,L:M,2,)</f>
        <v>48</v>
      </c>
      <c r="R197" s="5">
        <f t="shared" ref="R197:R211" si="13">VLOOKUP(L197,I:J,2,)</f>
        <v>48</v>
      </c>
      <c r="S197" s="5" t="b">
        <f t="shared" ref="S197:S211" si="14">Q197=R197</f>
        <v>1</v>
      </c>
      <c r="T197" s="5">
        <f t="shared" ref="T197:T211" si="15">R197-Q197</f>
        <v>0</v>
      </c>
    </row>
    <row r="198" spans="9:20" x14ac:dyDescent="0.2">
      <c r="I198" s="5" t="s">
        <v>1619</v>
      </c>
      <c r="J198" s="5">
        <v>2</v>
      </c>
      <c r="K198" s="5"/>
      <c r="L198" s="5" t="s">
        <v>1619</v>
      </c>
      <c r="M198" s="5">
        <v>2</v>
      </c>
      <c r="N198" s="5"/>
      <c r="O198" s="5"/>
      <c r="P198" s="5"/>
      <c r="Q198" s="5">
        <f t="shared" si="12"/>
        <v>2</v>
      </c>
      <c r="R198" s="5">
        <f t="shared" si="13"/>
        <v>2</v>
      </c>
      <c r="S198" s="5" t="b">
        <f t="shared" si="14"/>
        <v>1</v>
      </c>
      <c r="T198" s="5">
        <f t="shared" si="15"/>
        <v>0</v>
      </c>
    </row>
    <row r="199" spans="9:20" x14ac:dyDescent="0.2">
      <c r="I199" s="5" t="s">
        <v>393</v>
      </c>
      <c r="J199" s="5">
        <v>4</v>
      </c>
      <c r="K199" s="5"/>
      <c r="L199" s="5" t="s">
        <v>393</v>
      </c>
      <c r="M199" s="5">
        <v>4</v>
      </c>
      <c r="N199" s="5"/>
      <c r="O199" s="5"/>
      <c r="P199" s="5"/>
      <c r="Q199" s="5">
        <f t="shared" si="12"/>
        <v>4</v>
      </c>
      <c r="R199" s="5">
        <f t="shared" si="13"/>
        <v>4</v>
      </c>
      <c r="S199" s="5" t="b">
        <f t="shared" si="14"/>
        <v>1</v>
      </c>
      <c r="T199" s="5">
        <f t="shared" si="15"/>
        <v>0</v>
      </c>
    </row>
    <row r="200" spans="9:20" x14ac:dyDescent="0.2">
      <c r="I200" s="5" t="s">
        <v>132</v>
      </c>
      <c r="J200" s="5">
        <v>2</v>
      </c>
      <c r="K200" s="5"/>
      <c r="L200" s="5" t="s">
        <v>132</v>
      </c>
      <c r="M200" s="5">
        <v>2</v>
      </c>
      <c r="N200" s="5"/>
      <c r="O200" s="5"/>
      <c r="P200" s="5"/>
      <c r="Q200" s="5">
        <f t="shared" si="12"/>
        <v>2</v>
      </c>
      <c r="R200" s="5">
        <f t="shared" si="13"/>
        <v>2</v>
      </c>
      <c r="S200" s="5" t="b">
        <f t="shared" si="14"/>
        <v>1</v>
      </c>
      <c r="T200" s="5">
        <f t="shared" si="15"/>
        <v>0</v>
      </c>
    </row>
    <row r="201" spans="9:20" x14ac:dyDescent="0.2">
      <c r="I201" s="5" t="s">
        <v>130</v>
      </c>
      <c r="J201" s="5">
        <v>1</v>
      </c>
      <c r="K201" s="5"/>
      <c r="L201" s="5" t="s">
        <v>130</v>
      </c>
      <c r="M201" s="5">
        <v>1</v>
      </c>
      <c r="N201" s="5"/>
      <c r="O201" s="5"/>
      <c r="P201" s="5"/>
      <c r="Q201" s="5">
        <f t="shared" si="12"/>
        <v>1</v>
      </c>
      <c r="R201" s="5">
        <f t="shared" si="13"/>
        <v>1</v>
      </c>
      <c r="S201" s="5" t="b">
        <f t="shared" si="14"/>
        <v>1</v>
      </c>
      <c r="T201" s="5">
        <f t="shared" si="15"/>
        <v>0</v>
      </c>
    </row>
    <row r="202" spans="9:20" x14ac:dyDescent="0.2">
      <c r="I202" s="5" t="s">
        <v>363</v>
      </c>
      <c r="J202" s="5">
        <v>1</v>
      </c>
      <c r="K202" s="5"/>
      <c r="L202" s="5" t="s">
        <v>363</v>
      </c>
      <c r="M202" s="5">
        <v>1</v>
      </c>
      <c r="N202" s="5"/>
      <c r="O202" s="5"/>
      <c r="P202" s="5"/>
      <c r="Q202" s="5">
        <f t="shared" si="12"/>
        <v>1</v>
      </c>
      <c r="R202" s="5">
        <f t="shared" si="13"/>
        <v>1</v>
      </c>
      <c r="S202" s="5" t="b">
        <f t="shared" si="14"/>
        <v>1</v>
      </c>
      <c r="T202" s="5">
        <f t="shared" si="15"/>
        <v>0</v>
      </c>
    </row>
    <row r="203" spans="9:20" x14ac:dyDescent="0.2">
      <c r="I203" s="5" t="s">
        <v>374</v>
      </c>
      <c r="J203" s="5">
        <v>2</v>
      </c>
      <c r="K203" s="5"/>
      <c r="L203" s="5" t="s">
        <v>374</v>
      </c>
      <c r="M203" s="5">
        <v>2</v>
      </c>
      <c r="N203" s="5"/>
      <c r="O203" s="5"/>
      <c r="P203" s="5"/>
      <c r="Q203" s="5">
        <f t="shared" si="12"/>
        <v>2</v>
      </c>
      <c r="R203" s="5">
        <f t="shared" si="13"/>
        <v>2</v>
      </c>
      <c r="S203" s="5" t="b">
        <f t="shared" si="14"/>
        <v>1</v>
      </c>
      <c r="T203" s="5">
        <f t="shared" si="15"/>
        <v>0</v>
      </c>
    </row>
    <row r="204" spans="9:20" x14ac:dyDescent="0.2">
      <c r="I204" s="5" t="s">
        <v>1362</v>
      </c>
      <c r="J204" s="5">
        <v>1</v>
      </c>
      <c r="K204" s="5"/>
      <c r="L204" s="5" t="s">
        <v>1362</v>
      </c>
      <c r="M204" s="5">
        <v>1</v>
      </c>
      <c r="N204" s="5"/>
      <c r="O204" s="5"/>
      <c r="P204" s="5"/>
      <c r="Q204" s="5">
        <f t="shared" si="12"/>
        <v>1</v>
      </c>
      <c r="R204" s="5">
        <f t="shared" si="13"/>
        <v>1</v>
      </c>
      <c r="S204" s="5" t="b">
        <f t="shared" si="14"/>
        <v>1</v>
      </c>
      <c r="T204" s="5">
        <f t="shared" si="15"/>
        <v>0</v>
      </c>
    </row>
    <row r="205" spans="9:20" x14ac:dyDescent="0.2">
      <c r="I205" s="5" t="s">
        <v>358</v>
      </c>
      <c r="J205" s="5">
        <v>3</v>
      </c>
      <c r="K205" s="5"/>
      <c r="L205" s="5" t="s">
        <v>358</v>
      </c>
      <c r="M205" s="5">
        <v>3</v>
      </c>
      <c r="N205" s="5"/>
      <c r="O205" s="5"/>
      <c r="P205" s="5"/>
      <c r="Q205" s="5">
        <f t="shared" si="12"/>
        <v>3</v>
      </c>
      <c r="R205" s="5">
        <f t="shared" si="13"/>
        <v>3</v>
      </c>
      <c r="S205" s="5" t="b">
        <f t="shared" si="14"/>
        <v>1</v>
      </c>
      <c r="T205" s="5">
        <f t="shared" si="15"/>
        <v>0</v>
      </c>
    </row>
    <row r="206" spans="9:20" x14ac:dyDescent="0.2">
      <c r="I206" s="5" t="s">
        <v>1326</v>
      </c>
      <c r="J206" s="5">
        <v>1</v>
      </c>
      <c r="K206" s="5"/>
      <c r="L206" s="5" t="s">
        <v>1326</v>
      </c>
      <c r="M206" s="5">
        <v>1</v>
      </c>
      <c r="N206" s="5"/>
      <c r="O206" s="5"/>
      <c r="P206" s="5"/>
      <c r="Q206" s="5">
        <f t="shared" si="12"/>
        <v>1</v>
      </c>
      <c r="R206" s="5">
        <f t="shared" si="13"/>
        <v>1</v>
      </c>
      <c r="S206" s="5" t="b">
        <f t="shared" si="14"/>
        <v>1</v>
      </c>
      <c r="T206" s="5">
        <f t="shared" si="15"/>
        <v>0</v>
      </c>
    </row>
    <row r="207" spans="9:20" x14ac:dyDescent="0.2">
      <c r="I207" s="5" t="s">
        <v>1642</v>
      </c>
      <c r="J207" s="5">
        <v>3</v>
      </c>
      <c r="K207" s="5"/>
      <c r="L207" s="5" t="s">
        <v>1642</v>
      </c>
      <c r="M207" s="5">
        <v>3</v>
      </c>
      <c r="N207" s="5"/>
      <c r="O207" s="5"/>
      <c r="P207" s="5"/>
      <c r="Q207" s="5">
        <f t="shared" si="12"/>
        <v>3</v>
      </c>
      <c r="R207" s="5">
        <f t="shared" si="13"/>
        <v>3</v>
      </c>
      <c r="S207" s="5" t="b">
        <f t="shared" si="14"/>
        <v>1</v>
      </c>
      <c r="T207" s="5">
        <f t="shared" si="15"/>
        <v>0</v>
      </c>
    </row>
    <row r="208" spans="9:20" x14ac:dyDescent="0.2">
      <c r="I208" s="5" t="s">
        <v>1283</v>
      </c>
      <c r="J208" s="5">
        <v>2</v>
      </c>
      <c r="K208" s="5"/>
      <c r="L208" s="5" t="s">
        <v>1283</v>
      </c>
      <c r="M208" s="5">
        <v>2</v>
      </c>
      <c r="N208" s="5"/>
      <c r="O208" s="5"/>
      <c r="P208" s="5"/>
      <c r="Q208" s="5">
        <f t="shared" si="12"/>
        <v>2</v>
      </c>
      <c r="R208" s="5">
        <f t="shared" si="13"/>
        <v>2</v>
      </c>
      <c r="S208" s="5" t="b">
        <f t="shared" si="14"/>
        <v>1</v>
      </c>
      <c r="T208" s="5">
        <f t="shared" si="15"/>
        <v>0</v>
      </c>
    </row>
    <row r="209" spans="9:20" x14ac:dyDescent="0.2">
      <c r="I209" s="5" t="s">
        <v>74</v>
      </c>
      <c r="J209" s="5">
        <v>8</v>
      </c>
      <c r="K209" s="5"/>
      <c r="L209" s="5" t="s">
        <v>74</v>
      </c>
      <c r="M209" s="5">
        <v>8</v>
      </c>
      <c r="N209" s="5"/>
      <c r="O209" s="5"/>
      <c r="P209" s="5"/>
      <c r="Q209" s="5">
        <f t="shared" si="12"/>
        <v>8</v>
      </c>
      <c r="R209" s="5">
        <f t="shared" si="13"/>
        <v>8</v>
      </c>
      <c r="S209" s="5" t="b">
        <f t="shared" si="14"/>
        <v>1</v>
      </c>
      <c r="T209" s="5">
        <f t="shared" si="15"/>
        <v>0</v>
      </c>
    </row>
    <row r="210" spans="9:20" x14ac:dyDescent="0.2">
      <c r="I210" s="5" t="s">
        <v>1137</v>
      </c>
      <c r="J210" s="5">
        <v>7</v>
      </c>
      <c r="K210" s="5"/>
      <c r="L210" s="5" t="s">
        <v>1137</v>
      </c>
      <c r="M210" s="5">
        <v>7</v>
      </c>
      <c r="N210" s="5"/>
      <c r="O210" s="5"/>
      <c r="P210" s="5"/>
      <c r="Q210" s="5">
        <f t="shared" si="12"/>
        <v>7</v>
      </c>
      <c r="R210" s="5">
        <f t="shared" si="13"/>
        <v>7</v>
      </c>
      <c r="S210" s="5" t="b">
        <f t="shared" si="14"/>
        <v>1</v>
      </c>
      <c r="T210" s="5">
        <f t="shared" si="15"/>
        <v>0</v>
      </c>
    </row>
    <row r="211" spans="9:20" x14ac:dyDescent="0.2">
      <c r="I211" s="53" t="s">
        <v>1135</v>
      </c>
      <c r="J211" s="53">
        <v>13</v>
      </c>
      <c r="K211" s="5"/>
      <c r="L211" s="53" t="s">
        <v>1135</v>
      </c>
      <c r="M211" s="53">
        <v>13</v>
      </c>
      <c r="N211" s="5"/>
      <c r="O211" s="5"/>
      <c r="P211" s="27"/>
      <c r="Q211" s="5">
        <f t="shared" si="12"/>
        <v>13</v>
      </c>
      <c r="R211" s="5">
        <f t="shared" si="13"/>
        <v>13</v>
      </c>
      <c r="S211" s="5" t="b">
        <f t="shared" si="14"/>
        <v>1</v>
      </c>
      <c r="T211" s="5">
        <f t="shared" si="15"/>
        <v>0</v>
      </c>
    </row>
    <row r="212" spans="9:20" x14ac:dyDescent="0.2">
      <c r="I212" s="54"/>
      <c r="J212" s="54"/>
      <c r="K212" s="53"/>
      <c r="L212" s="54"/>
      <c r="M212" s="54"/>
      <c r="N212" s="5"/>
      <c r="O212" s="5"/>
      <c r="P212" s="53"/>
      <c r="Q212" s="5"/>
      <c r="R212" s="5"/>
      <c r="S212" s="5"/>
      <c r="T212" s="5"/>
    </row>
    <row r="213" spans="9:20" x14ac:dyDescent="0.2">
      <c r="I213" s="54"/>
      <c r="J213" s="54"/>
      <c r="K213" s="54"/>
      <c r="L213" s="54"/>
      <c r="M213" s="54"/>
      <c r="N213" s="52"/>
      <c r="O213" s="5"/>
      <c r="P213" s="54"/>
      <c r="Q213" s="54"/>
      <c r="R213" s="54"/>
      <c r="S213" s="54"/>
      <c r="T213" s="54"/>
    </row>
    <row r="214" spans="9:20" x14ac:dyDescent="0.2">
      <c r="K214" s="54"/>
      <c r="L214" s="54"/>
      <c r="M214" s="54"/>
      <c r="N214" s="52"/>
      <c r="O214" s="5"/>
      <c r="P214" s="54"/>
      <c r="Q214" s="54"/>
      <c r="R214" s="54"/>
      <c r="S214" s="54"/>
      <c r="T214" s="54"/>
    </row>
    <row r="215" spans="9:20" x14ac:dyDescent="0.2">
      <c r="K215" s="54"/>
      <c r="N215" s="52"/>
      <c r="O215" s="5"/>
      <c r="P215" s="55"/>
      <c r="Q215" s="54"/>
      <c r="R215" s="54"/>
      <c r="S215" s="54"/>
      <c r="T215" s="54"/>
    </row>
    <row r="216" spans="9:20" x14ac:dyDescent="0.2">
      <c r="K216" s="54"/>
      <c r="N216" s="52"/>
      <c r="O216" s="5"/>
      <c r="P216" s="54"/>
      <c r="Q216" s="54"/>
      <c r="R216" s="54"/>
      <c r="S216" s="54"/>
      <c r="T216" s="54"/>
    </row>
    <row r="217" spans="9:20" x14ac:dyDescent="0.2">
      <c r="K217" s="54"/>
      <c r="N217" s="52"/>
      <c r="O217" s="5"/>
      <c r="P217" s="54"/>
      <c r="Q217" s="54"/>
      <c r="R217" s="54"/>
      <c r="S217" s="54"/>
      <c r="T217" s="54"/>
    </row>
    <row r="218" spans="9:20" x14ac:dyDescent="0.2">
      <c r="K218" s="54"/>
      <c r="N218" s="52"/>
      <c r="O218" s="5"/>
      <c r="P218" s="54"/>
      <c r="Q218" s="54"/>
      <c r="R218" s="54"/>
      <c r="S218" s="54"/>
      <c r="T218" s="54"/>
    </row>
    <row r="219" spans="9:20" x14ac:dyDescent="0.2">
      <c r="K219" s="54"/>
      <c r="N219" s="52"/>
      <c r="O219" s="5"/>
      <c r="P219" s="54"/>
      <c r="Q219" s="54"/>
      <c r="R219" s="54"/>
      <c r="S219" s="54"/>
      <c r="T219" s="54"/>
    </row>
    <row r="220" spans="9:20" x14ac:dyDescent="0.2">
      <c r="K220" s="54"/>
      <c r="N220" s="52"/>
      <c r="O220" s="5"/>
      <c r="P220" s="54"/>
      <c r="Q220" s="54"/>
      <c r="R220" s="54"/>
      <c r="S220" s="54"/>
      <c r="T220" s="54"/>
    </row>
    <row r="221" spans="9:20" x14ac:dyDescent="0.2">
      <c r="K221" s="54"/>
      <c r="N221" s="52"/>
      <c r="O221" s="5"/>
      <c r="P221" s="54"/>
      <c r="Q221" s="54"/>
      <c r="R221" s="54"/>
      <c r="S221" s="54"/>
      <c r="T221" s="54"/>
    </row>
    <row r="222" spans="9:20" x14ac:dyDescent="0.2">
      <c r="N222" s="52"/>
      <c r="O222" s="5"/>
      <c r="P222" s="54"/>
      <c r="Q222" s="54"/>
      <c r="R222" s="54"/>
      <c r="S222" s="54"/>
      <c r="T222" s="54"/>
    </row>
    <row r="223" spans="9:20" x14ac:dyDescent="0.2">
      <c r="N223" s="52"/>
      <c r="O223" s="5"/>
      <c r="P223" s="54"/>
      <c r="Q223" s="54"/>
      <c r="R223" s="54"/>
      <c r="S223" s="54"/>
      <c r="T223" s="54"/>
    </row>
    <row r="224" spans="9:20" x14ac:dyDescent="0.2">
      <c r="N224" s="52"/>
      <c r="O224" s="5"/>
      <c r="P224" s="54"/>
      <c r="Q224" s="54"/>
      <c r="R224" s="54"/>
      <c r="S224" s="54"/>
      <c r="T224" s="54"/>
    </row>
    <row r="226" spans="12:12" x14ac:dyDescent="0.2">
      <c r="L226" t="s">
        <v>1756</v>
      </c>
    </row>
  </sheetData>
  <sortState xmlns:xlrd2="http://schemas.microsoft.com/office/spreadsheetml/2017/richdata2" ref="L4:M192">
    <sortCondition descending="1" ref="L4:L192"/>
  </sortState>
  <mergeCells count="6">
    <mergeCell ref="U1:AQ1048576"/>
    <mergeCell ref="C1:H1048576"/>
    <mergeCell ref="I1:J2"/>
    <mergeCell ref="L1:M2"/>
    <mergeCell ref="P1:P2"/>
    <mergeCell ref="Q1:T2"/>
  </mergeCells>
  <conditionalFormatting sqref="I96">
    <cfRule type="duplicateValues" dxfId="31" priority="13"/>
  </conditionalFormatting>
  <conditionalFormatting sqref="I177">
    <cfRule type="duplicateValues" dxfId="30" priority="5"/>
  </conditionalFormatting>
  <conditionalFormatting sqref="I192:I199 I205:I1048576 I97:I153 I48:I92 I95 I1:I46 I161:I165 I168:I171 I173:I176 I201:I203 I155:I159 I179:I190">
    <cfRule type="duplicateValues" dxfId="29" priority="43"/>
  </conditionalFormatting>
  <conditionalFormatting sqref="J3">
    <cfRule type="duplicateValues" dxfId="28" priority="15"/>
  </conditionalFormatting>
  <conditionalFormatting sqref="L22">
    <cfRule type="duplicateValues" dxfId="27" priority="24"/>
  </conditionalFormatting>
  <conditionalFormatting sqref="L24">
    <cfRule type="duplicateValues" dxfId="26" priority="22"/>
  </conditionalFormatting>
  <conditionalFormatting sqref="L51">
    <cfRule type="duplicateValues" dxfId="25" priority="28"/>
  </conditionalFormatting>
  <conditionalFormatting sqref="L56">
    <cfRule type="duplicateValues" dxfId="24" priority="21"/>
  </conditionalFormatting>
  <conditionalFormatting sqref="L64">
    <cfRule type="duplicateValues" dxfId="23" priority="23"/>
  </conditionalFormatting>
  <conditionalFormatting sqref="L68">
    <cfRule type="duplicateValues" dxfId="22" priority="20"/>
  </conditionalFormatting>
  <conditionalFormatting sqref="L73">
    <cfRule type="duplicateValues" dxfId="21" priority="18"/>
  </conditionalFormatting>
  <conditionalFormatting sqref="L76">
    <cfRule type="duplicateValues" dxfId="20" priority="17"/>
  </conditionalFormatting>
  <conditionalFormatting sqref="L81">
    <cfRule type="duplicateValues" dxfId="19" priority="26"/>
  </conditionalFormatting>
  <conditionalFormatting sqref="L86">
    <cfRule type="duplicateValues" dxfId="18" priority="14"/>
  </conditionalFormatting>
  <conditionalFormatting sqref="L94">
    <cfRule type="duplicateValues" dxfId="17" priority="25"/>
  </conditionalFormatting>
  <conditionalFormatting sqref="L111">
    <cfRule type="duplicateValues" dxfId="16" priority="31"/>
  </conditionalFormatting>
  <conditionalFormatting sqref="L112">
    <cfRule type="duplicateValues" dxfId="15" priority="30"/>
  </conditionalFormatting>
  <conditionalFormatting sqref="L113">
    <cfRule type="duplicateValues" dxfId="14" priority="29"/>
  </conditionalFormatting>
  <conditionalFormatting sqref="L139">
    <cfRule type="duplicateValues" dxfId="13" priority="12"/>
  </conditionalFormatting>
  <conditionalFormatting sqref="L154">
    <cfRule type="duplicateValues" dxfId="12" priority="11"/>
  </conditionalFormatting>
  <conditionalFormatting sqref="L165">
    <cfRule type="duplicateValues" dxfId="11" priority="10"/>
  </conditionalFormatting>
  <conditionalFormatting sqref="L173">
    <cfRule type="duplicateValues" dxfId="10" priority="9"/>
  </conditionalFormatting>
  <conditionalFormatting sqref="L176">
    <cfRule type="duplicateValues" dxfId="9" priority="16"/>
  </conditionalFormatting>
  <conditionalFormatting sqref="L193">
    <cfRule type="duplicateValues" dxfId="8" priority="8"/>
  </conditionalFormatting>
  <conditionalFormatting sqref="L195">
    <cfRule type="duplicateValues" dxfId="7" priority="7"/>
  </conditionalFormatting>
  <conditionalFormatting sqref="L197">
    <cfRule type="duplicateValues" dxfId="6" priority="6"/>
  </conditionalFormatting>
  <conditionalFormatting sqref="T1:T1048576">
    <cfRule type="cellIs" dxfId="5" priority="33" operator="between">
      <formula>1</formula>
      <formula>100</formula>
    </cfRule>
    <cfRule type="cellIs" dxfId="4" priority="34" operator="between">
      <formula>-1</formula>
      <formula>-10</formula>
    </cfRule>
  </conditionalFormatting>
  <conditionalFormatting sqref="T3 S3:S1048576">
    <cfRule type="cellIs" dxfId="3" priority="35" operator="between">
      <formula>"#N/A"</formula>
      <formula>"#N/A"</formula>
    </cfRule>
    <cfRule type="cellIs" dxfId="2" priority="36" operator="between">
      <formula>"#N/A"</formula>
      <formula>"#N/A"</formula>
    </cfRule>
    <cfRule type="cellIs" dxfId="1" priority="37" operator="between">
      <formula>TRUE</formula>
      <formula>TRUE</formula>
    </cfRule>
    <cfRule type="cellIs" dxfId="0" priority="38" operator="between">
      <formula>FALSE</formula>
      <formula>FALSE</formula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A186-EBDB-41C1-B2E5-4E6C39F76AF9}">
  <dimension ref="A1:K213"/>
  <sheetViews>
    <sheetView workbookViewId="0">
      <selection activeCell="N7" sqref="N7"/>
    </sheetView>
  </sheetViews>
  <sheetFormatPr baseColWidth="10" defaultRowHeight="12.75" x14ac:dyDescent="0.2"/>
  <sheetData>
    <row r="1" spans="1:11" ht="21" x14ac:dyDescent="0.2">
      <c r="A1" s="70" t="s">
        <v>353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 ht="15" x14ac:dyDescent="0.2">
      <c r="A2" s="61" t="s">
        <v>354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1" ht="15" x14ac:dyDescent="0.2">
      <c r="A3" s="64" t="s">
        <v>1766</v>
      </c>
      <c r="B3" s="65"/>
      <c r="C3" s="65"/>
      <c r="D3" s="65"/>
      <c r="E3" s="65"/>
      <c r="F3" s="65"/>
      <c r="G3" s="65"/>
      <c r="H3" s="65"/>
      <c r="I3" s="65"/>
      <c r="J3" s="65"/>
      <c r="K3" s="66"/>
    </row>
    <row r="4" spans="1:11" ht="18.75" x14ac:dyDescent="0.2">
      <c r="A4" s="67" t="s">
        <v>355</v>
      </c>
      <c r="B4" s="68"/>
      <c r="C4" s="68"/>
      <c r="D4" s="68"/>
      <c r="E4" s="68"/>
      <c r="F4" s="68"/>
      <c r="G4" s="68"/>
      <c r="H4" s="68"/>
      <c r="I4" s="68"/>
      <c r="J4" s="68"/>
      <c r="K4" s="69"/>
    </row>
    <row r="5" spans="1:11" ht="24" x14ac:dyDescent="0.2">
      <c r="A5" s="28" t="s">
        <v>94</v>
      </c>
      <c r="B5" s="29" t="s">
        <v>95</v>
      </c>
      <c r="C5" s="30" t="s">
        <v>96</v>
      </c>
      <c r="D5" s="30" t="s">
        <v>151</v>
      </c>
      <c r="E5" s="30" t="s">
        <v>152</v>
      </c>
      <c r="F5" s="30" t="s">
        <v>153</v>
      </c>
      <c r="G5" s="30" t="s">
        <v>154</v>
      </c>
      <c r="H5" s="31" t="s">
        <v>155</v>
      </c>
      <c r="I5" s="32" t="s">
        <v>156</v>
      </c>
      <c r="J5" s="32" t="s">
        <v>157</v>
      </c>
      <c r="K5" s="33" t="s">
        <v>158</v>
      </c>
    </row>
    <row r="6" spans="1:11" ht="33.75" x14ac:dyDescent="0.2">
      <c r="A6" s="34" t="s">
        <v>1279</v>
      </c>
      <c r="B6" s="35" t="s">
        <v>1280</v>
      </c>
      <c r="C6" s="36" t="s">
        <v>137</v>
      </c>
      <c r="D6" s="36" t="s">
        <v>159</v>
      </c>
      <c r="E6" s="36" t="s">
        <v>137</v>
      </c>
      <c r="F6" s="36" t="s">
        <v>159</v>
      </c>
      <c r="G6" s="36" t="s">
        <v>159</v>
      </c>
      <c r="H6" s="37" t="s">
        <v>160</v>
      </c>
      <c r="I6" s="38">
        <v>201917.51</v>
      </c>
      <c r="J6" s="38">
        <v>201917.51199999999</v>
      </c>
      <c r="K6" s="39">
        <v>201917.51</v>
      </c>
    </row>
    <row r="7" spans="1:11" ht="33.75" x14ac:dyDescent="0.2">
      <c r="A7" s="40" t="s">
        <v>1354</v>
      </c>
      <c r="B7" s="41" t="s">
        <v>1714</v>
      </c>
      <c r="C7" s="42" t="s">
        <v>140</v>
      </c>
      <c r="D7" s="42" t="s">
        <v>159</v>
      </c>
      <c r="E7" s="42" t="s">
        <v>140</v>
      </c>
      <c r="F7" s="42" t="s">
        <v>159</v>
      </c>
      <c r="G7" s="42" t="s">
        <v>159</v>
      </c>
      <c r="H7" s="43" t="s">
        <v>160</v>
      </c>
      <c r="I7" s="44">
        <v>267408.16333299997</v>
      </c>
      <c r="J7" s="44">
        <v>267408.16470000002</v>
      </c>
      <c r="K7" s="45">
        <v>802224.48999899998</v>
      </c>
    </row>
    <row r="8" spans="1:11" ht="45" x14ac:dyDescent="0.2">
      <c r="A8" s="40" t="s">
        <v>1648</v>
      </c>
      <c r="B8" s="41" t="s">
        <v>1715</v>
      </c>
      <c r="C8" s="42" t="s">
        <v>140</v>
      </c>
      <c r="D8" s="42" t="s">
        <v>159</v>
      </c>
      <c r="E8" s="42" t="s">
        <v>140</v>
      </c>
      <c r="F8" s="42" t="s">
        <v>165</v>
      </c>
      <c r="G8" s="42" t="s">
        <v>159</v>
      </c>
      <c r="H8" s="43" t="s">
        <v>160</v>
      </c>
      <c r="I8" s="44">
        <v>613617.22666699998</v>
      </c>
      <c r="J8" s="44">
        <v>613617.22750000004</v>
      </c>
      <c r="K8" s="45">
        <v>1840851.6800009999</v>
      </c>
    </row>
    <row r="9" spans="1:11" ht="22.5" x14ac:dyDescent="0.2">
      <c r="A9" s="40" t="s">
        <v>1531</v>
      </c>
      <c r="B9" s="41" t="s">
        <v>1711</v>
      </c>
      <c r="C9" s="42" t="s">
        <v>137</v>
      </c>
      <c r="D9" s="42" t="s">
        <v>137</v>
      </c>
      <c r="E9" s="42" t="s">
        <v>159</v>
      </c>
      <c r="F9" s="42" t="s">
        <v>159</v>
      </c>
      <c r="G9" s="42" t="s">
        <v>159</v>
      </c>
      <c r="H9" s="43" t="s">
        <v>160</v>
      </c>
      <c r="I9" s="44">
        <v>1717596.62</v>
      </c>
      <c r="J9" s="44">
        <v>1717596.6248999999</v>
      </c>
      <c r="K9" s="45">
        <v>1717596.62</v>
      </c>
    </row>
    <row r="10" spans="1:11" ht="45" x14ac:dyDescent="0.2">
      <c r="A10" s="40" t="s">
        <v>1122</v>
      </c>
      <c r="B10" s="41" t="s">
        <v>1123</v>
      </c>
      <c r="C10" s="42" t="s">
        <v>137</v>
      </c>
      <c r="D10" s="42" t="s">
        <v>159</v>
      </c>
      <c r="E10" s="42" t="s">
        <v>137</v>
      </c>
      <c r="F10" s="42" t="s">
        <v>159</v>
      </c>
      <c r="G10" s="42" t="s">
        <v>159</v>
      </c>
      <c r="H10" s="43" t="s">
        <v>160</v>
      </c>
      <c r="I10" s="44">
        <v>204806.83</v>
      </c>
      <c r="J10" s="44">
        <v>204806.82990000001</v>
      </c>
      <c r="K10" s="45">
        <v>204806.83</v>
      </c>
    </row>
    <row r="11" spans="1:11" ht="33.75" x14ac:dyDescent="0.2">
      <c r="A11" s="40" t="s">
        <v>16</v>
      </c>
      <c r="B11" s="41" t="s">
        <v>378</v>
      </c>
      <c r="C11" s="42" t="s">
        <v>139</v>
      </c>
      <c r="D11" s="42" t="s">
        <v>159</v>
      </c>
      <c r="E11" s="42" t="s">
        <v>139</v>
      </c>
      <c r="F11" s="42" t="s">
        <v>159</v>
      </c>
      <c r="G11" s="42" t="s">
        <v>159</v>
      </c>
      <c r="H11" s="43" t="s">
        <v>160</v>
      </c>
      <c r="I11" s="44">
        <v>105642.88499999999</v>
      </c>
      <c r="J11" s="44">
        <v>106127.8545</v>
      </c>
      <c r="K11" s="45">
        <v>845143.08</v>
      </c>
    </row>
    <row r="12" spans="1:11" ht="112.5" x14ac:dyDescent="0.2">
      <c r="A12" s="40" t="s">
        <v>14</v>
      </c>
      <c r="B12" s="41" t="s">
        <v>129</v>
      </c>
      <c r="C12" s="42" t="s">
        <v>1716</v>
      </c>
      <c r="D12" s="42" t="s">
        <v>159</v>
      </c>
      <c r="E12" s="42" t="s">
        <v>1716</v>
      </c>
      <c r="F12" s="42" t="s">
        <v>159</v>
      </c>
      <c r="G12" s="42" t="s">
        <v>159</v>
      </c>
      <c r="H12" s="43" t="s">
        <v>160</v>
      </c>
      <c r="I12" s="44">
        <v>279713.11497599998</v>
      </c>
      <c r="J12" s="44">
        <v>279713.11479999998</v>
      </c>
      <c r="K12" s="45">
        <v>55662909.880223997</v>
      </c>
    </row>
    <row r="13" spans="1:11" ht="45" x14ac:dyDescent="0.2">
      <c r="A13" s="40" t="s">
        <v>41</v>
      </c>
      <c r="B13" s="41" t="s">
        <v>98</v>
      </c>
      <c r="C13" s="42" t="s">
        <v>137</v>
      </c>
      <c r="D13" s="42" t="s">
        <v>159</v>
      </c>
      <c r="E13" s="42" t="s">
        <v>137</v>
      </c>
      <c r="F13" s="42" t="s">
        <v>159</v>
      </c>
      <c r="G13" s="42" t="s">
        <v>159</v>
      </c>
      <c r="H13" s="43" t="s">
        <v>160</v>
      </c>
      <c r="I13" s="44">
        <v>787667.34999799996</v>
      </c>
      <c r="J13" s="44">
        <v>787667.36620000005</v>
      </c>
      <c r="K13" s="45">
        <v>787667.34999799996</v>
      </c>
    </row>
    <row r="14" spans="1:11" ht="33.75" x14ac:dyDescent="0.2">
      <c r="A14" s="40" t="s">
        <v>1724</v>
      </c>
      <c r="B14" s="41" t="s">
        <v>1725</v>
      </c>
      <c r="C14" s="42" t="s">
        <v>137</v>
      </c>
      <c r="D14" s="42" t="s">
        <v>137</v>
      </c>
      <c r="E14" s="42" t="s">
        <v>159</v>
      </c>
      <c r="F14" s="42" t="s">
        <v>159</v>
      </c>
      <c r="G14" s="42" t="s">
        <v>159</v>
      </c>
      <c r="H14" s="43" t="s">
        <v>160</v>
      </c>
      <c r="I14" s="44">
        <v>501608.73</v>
      </c>
      <c r="J14" s="44">
        <v>501608.72619999998</v>
      </c>
      <c r="K14" s="45">
        <v>501608.73</v>
      </c>
    </row>
    <row r="15" spans="1:11" ht="45" x14ac:dyDescent="0.2">
      <c r="A15" s="40" t="s">
        <v>143</v>
      </c>
      <c r="B15" s="41" t="s">
        <v>144</v>
      </c>
      <c r="C15" s="42" t="s">
        <v>149</v>
      </c>
      <c r="D15" s="42" t="s">
        <v>159</v>
      </c>
      <c r="E15" s="42" t="s">
        <v>149</v>
      </c>
      <c r="F15" s="42" t="s">
        <v>519</v>
      </c>
      <c r="G15" s="42" t="s">
        <v>159</v>
      </c>
      <c r="H15" s="43" t="s">
        <v>160</v>
      </c>
      <c r="I15" s="44">
        <v>475196.69199999998</v>
      </c>
      <c r="J15" s="44">
        <v>555464.69799999997</v>
      </c>
      <c r="K15" s="45">
        <v>4751966.92</v>
      </c>
    </row>
    <row r="16" spans="1:11" ht="45" x14ac:dyDescent="0.2">
      <c r="A16" s="40" t="s">
        <v>1566</v>
      </c>
      <c r="B16" s="41" t="s">
        <v>1712</v>
      </c>
      <c r="C16" s="42" t="s">
        <v>137</v>
      </c>
      <c r="D16" s="42" t="s">
        <v>140</v>
      </c>
      <c r="E16" s="42" t="s">
        <v>1713</v>
      </c>
      <c r="F16" s="42" t="s">
        <v>165</v>
      </c>
      <c r="G16" s="42" t="s">
        <v>159</v>
      </c>
      <c r="H16" s="43" t="s">
        <v>160</v>
      </c>
      <c r="I16" s="44">
        <v>442718.08</v>
      </c>
      <c r="J16" s="44">
        <v>442718.08399999997</v>
      </c>
      <c r="K16" s="45">
        <v>442718.08</v>
      </c>
    </row>
    <row r="17" spans="1:11" ht="33.75" x14ac:dyDescent="0.2">
      <c r="A17" s="40" t="s">
        <v>162</v>
      </c>
      <c r="B17" s="41" t="s">
        <v>163</v>
      </c>
      <c r="C17" s="42" t="s">
        <v>140</v>
      </c>
      <c r="D17" s="42" t="s">
        <v>159</v>
      </c>
      <c r="E17" s="42" t="s">
        <v>140</v>
      </c>
      <c r="F17" s="42" t="s">
        <v>159</v>
      </c>
      <c r="G17" s="42" t="s">
        <v>159</v>
      </c>
      <c r="H17" s="43" t="s">
        <v>160</v>
      </c>
      <c r="I17" s="44">
        <v>1138150.8199990001</v>
      </c>
      <c r="J17" s="44">
        <v>1138150.8181</v>
      </c>
      <c r="K17" s="45">
        <v>3414452.4599970002</v>
      </c>
    </row>
    <row r="18" spans="1:11" ht="22.5" x14ac:dyDescent="0.2">
      <c r="A18" s="40" t="s">
        <v>1277</v>
      </c>
      <c r="B18" s="41" t="s">
        <v>1278</v>
      </c>
      <c r="C18" s="42" t="s">
        <v>137</v>
      </c>
      <c r="D18" s="42" t="s">
        <v>140</v>
      </c>
      <c r="E18" s="42" t="s">
        <v>1713</v>
      </c>
      <c r="F18" s="42" t="s">
        <v>159</v>
      </c>
      <c r="G18" s="42" t="s">
        <v>159</v>
      </c>
      <c r="H18" s="43" t="s">
        <v>160</v>
      </c>
      <c r="I18" s="44">
        <v>3361.34</v>
      </c>
      <c r="J18" s="44">
        <v>3361.34</v>
      </c>
      <c r="K18" s="45">
        <v>3361.34</v>
      </c>
    </row>
    <row r="19" spans="1:11" ht="33.75" x14ac:dyDescent="0.2">
      <c r="A19" s="40" t="s">
        <v>1143</v>
      </c>
      <c r="B19" s="41" t="s">
        <v>381</v>
      </c>
      <c r="C19" s="42" t="s">
        <v>140</v>
      </c>
      <c r="D19" s="42" t="s">
        <v>159</v>
      </c>
      <c r="E19" s="42" t="s">
        <v>140</v>
      </c>
      <c r="F19" s="42" t="s">
        <v>159</v>
      </c>
      <c r="G19" s="42" t="s">
        <v>159</v>
      </c>
      <c r="H19" s="43" t="s">
        <v>160</v>
      </c>
      <c r="I19" s="44">
        <v>126536.313333</v>
      </c>
      <c r="J19" s="44">
        <v>125592.173</v>
      </c>
      <c r="K19" s="45">
        <v>379608.93999899999</v>
      </c>
    </row>
    <row r="20" spans="1:11" ht="33.75" x14ac:dyDescent="0.2">
      <c r="A20" s="40" t="s">
        <v>1133</v>
      </c>
      <c r="B20" s="41" t="s">
        <v>1134</v>
      </c>
      <c r="C20" s="42" t="s">
        <v>142</v>
      </c>
      <c r="D20" s="42" t="s">
        <v>159</v>
      </c>
      <c r="E20" s="42" t="s">
        <v>142</v>
      </c>
      <c r="F20" s="42" t="s">
        <v>159</v>
      </c>
      <c r="G20" s="42" t="s">
        <v>159</v>
      </c>
      <c r="H20" s="43" t="s">
        <v>160</v>
      </c>
      <c r="I20" s="44">
        <v>347644.20750000002</v>
      </c>
      <c r="J20" s="44">
        <v>350682.59960000002</v>
      </c>
      <c r="K20" s="45">
        <v>1390576.83</v>
      </c>
    </row>
    <row r="21" spans="1:11" ht="33.75" x14ac:dyDescent="0.2">
      <c r="A21" s="40" t="s">
        <v>372</v>
      </c>
      <c r="B21" s="41" t="s">
        <v>377</v>
      </c>
      <c r="C21" s="42" t="s">
        <v>142</v>
      </c>
      <c r="D21" s="42" t="s">
        <v>159</v>
      </c>
      <c r="E21" s="42" t="s">
        <v>142</v>
      </c>
      <c r="F21" s="42" t="s">
        <v>159</v>
      </c>
      <c r="G21" s="42" t="s">
        <v>159</v>
      </c>
      <c r="H21" s="43" t="s">
        <v>160</v>
      </c>
      <c r="I21" s="44">
        <v>127773.61500000001</v>
      </c>
      <c r="J21" s="44">
        <v>123043.4694</v>
      </c>
      <c r="K21" s="45">
        <v>511094.46</v>
      </c>
    </row>
    <row r="22" spans="1:11" ht="45" x14ac:dyDescent="0.2">
      <c r="A22" s="40" t="s">
        <v>1144</v>
      </c>
      <c r="B22" s="41" t="s">
        <v>1145</v>
      </c>
      <c r="C22" s="42" t="s">
        <v>137</v>
      </c>
      <c r="D22" s="42" t="s">
        <v>159</v>
      </c>
      <c r="E22" s="42" t="s">
        <v>137</v>
      </c>
      <c r="F22" s="42" t="s">
        <v>159</v>
      </c>
      <c r="G22" s="42" t="s">
        <v>159</v>
      </c>
      <c r="H22" s="43" t="s">
        <v>160</v>
      </c>
      <c r="I22" s="44">
        <v>445430.24</v>
      </c>
      <c r="J22" s="44">
        <v>445430.2365</v>
      </c>
      <c r="K22" s="45">
        <v>445430.24</v>
      </c>
    </row>
    <row r="23" spans="1:11" ht="33.75" x14ac:dyDescent="0.2">
      <c r="A23" s="40" t="s">
        <v>1670</v>
      </c>
      <c r="B23" s="41" t="s">
        <v>1718</v>
      </c>
      <c r="C23" s="42" t="s">
        <v>357</v>
      </c>
      <c r="D23" s="42" t="s">
        <v>159</v>
      </c>
      <c r="E23" s="42" t="s">
        <v>357</v>
      </c>
      <c r="F23" s="42" t="s">
        <v>159</v>
      </c>
      <c r="G23" s="42" t="s">
        <v>159</v>
      </c>
      <c r="H23" s="43" t="s">
        <v>160</v>
      </c>
      <c r="I23" s="44">
        <v>261123.93</v>
      </c>
      <c r="J23" s="44">
        <v>261530.84890000001</v>
      </c>
      <c r="K23" s="45">
        <v>2350115.37</v>
      </c>
    </row>
    <row r="24" spans="1:11" ht="33.75" x14ac:dyDescent="0.2">
      <c r="A24" s="40" t="s">
        <v>585</v>
      </c>
      <c r="B24" s="41" t="s">
        <v>586</v>
      </c>
      <c r="C24" s="42" t="s">
        <v>140</v>
      </c>
      <c r="D24" s="42" t="s">
        <v>159</v>
      </c>
      <c r="E24" s="42" t="s">
        <v>140</v>
      </c>
      <c r="F24" s="42" t="s">
        <v>159</v>
      </c>
      <c r="G24" s="42" t="s">
        <v>159</v>
      </c>
      <c r="H24" s="43" t="s">
        <v>160</v>
      </c>
      <c r="I24" s="44">
        <v>332653.59999999998</v>
      </c>
      <c r="J24" s="44">
        <v>332653.59999999998</v>
      </c>
      <c r="K24" s="45">
        <v>997960.8</v>
      </c>
    </row>
    <row r="25" spans="1:11" ht="33.75" x14ac:dyDescent="0.2">
      <c r="A25" s="40" t="s">
        <v>371</v>
      </c>
      <c r="B25" s="41" t="s">
        <v>376</v>
      </c>
      <c r="C25" s="42" t="s">
        <v>138</v>
      </c>
      <c r="D25" s="42" t="s">
        <v>159</v>
      </c>
      <c r="E25" s="42" t="s">
        <v>138</v>
      </c>
      <c r="F25" s="42" t="s">
        <v>159</v>
      </c>
      <c r="G25" s="42" t="s">
        <v>159</v>
      </c>
      <c r="H25" s="43" t="s">
        <v>160</v>
      </c>
      <c r="I25" s="44">
        <v>79962.25</v>
      </c>
      <c r="J25" s="44">
        <v>80609.712400000004</v>
      </c>
      <c r="K25" s="45">
        <v>159924.5</v>
      </c>
    </row>
    <row r="26" spans="1:11" ht="22.5" x14ac:dyDescent="0.2">
      <c r="A26" s="40" t="s">
        <v>1599</v>
      </c>
      <c r="B26" s="41" t="s">
        <v>1717</v>
      </c>
      <c r="C26" s="42" t="s">
        <v>137</v>
      </c>
      <c r="D26" s="42" t="s">
        <v>137</v>
      </c>
      <c r="E26" s="42" t="s">
        <v>159</v>
      </c>
      <c r="F26" s="42" t="s">
        <v>159</v>
      </c>
      <c r="G26" s="42" t="s">
        <v>159</v>
      </c>
      <c r="H26" s="43" t="s">
        <v>160</v>
      </c>
      <c r="I26" s="44">
        <v>171729.76</v>
      </c>
      <c r="J26" s="44">
        <v>171729.76149999999</v>
      </c>
      <c r="K26" s="45">
        <v>171729.76</v>
      </c>
    </row>
    <row r="27" spans="1:11" ht="22.5" x14ac:dyDescent="0.2">
      <c r="A27" s="40" t="s">
        <v>384</v>
      </c>
      <c r="B27" s="41" t="s">
        <v>488</v>
      </c>
      <c r="C27" s="42" t="s">
        <v>137</v>
      </c>
      <c r="D27" s="42" t="s">
        <v>159</v>
      </c>
      <c r="E27" s="42" t="s">
        <v>137</v>
      </c>
      <c r="F27" s="42" t="s">
        <v>159</v>
      </c>
      <c r="G27" s="42" t="s">
        <v>159</v>
      </c>
      <c r="H27" s="43" t="s">
        <v>160</v>
      </c>
      <c r="I27" s="44">
        <v>908750.61</v>
      </c>
      <c r="J27" s="44">
        <v>908750.61159999995</v>
      </c>
      <c r="K27" s="45">
        <v>908750.61</v>
      </c>
    </row>
    <row r="28" spans="1:11" ht="45" x14ac:dyDescent="0.2">
      <c r="A28" s="40" t="s">
        <v>127</v>
      </c>
      <c r="B28" s="41" t="s">
        <v>128</v>
      </c>
      <c r="C28" s="42" t="s">
        <v>137</v>
      </c>
      <c r="D28" s="42" t="s">
        <v>159</v>
      </c>
      <c r="E28" s="42" t="s">
        <v>137</v>
      </c>
      <c r="F28" s="42" t="s">
        <v>159</v>
      </c>
      <c r="G28" s="42" t="s">
        <v>159</v>
      </c>
      <c r="H28" s="43" t="s">
        <v>160</v>
      </c>
      <c r="I28" s="44">
        <v>228825</v>
      </c>
      <c r="J28" s="44">
        <v>228825</v>
      </c>
      <c r="K28" s="45">
        <v>228825</v>
      </c>
    </row>
    <row r="29" spans="1:11" ht="33.75" x14ac:dyDescent="0.2">
      <c r="A29" s="40" t="s">
        <v>388</v>
      </c>
      <c r="B29" s="41" t="s">
        <v>489</v>
      </c>
      <c r="C29" s="42" t="s">
        <v>137</v>
      </c>
      <c r="D29" s="42" t="s">
        <v>137</v>
      </c>
      <c r="E29" s="42" t="s">
        <v>159</v>
      </c>
      <c r="F29" s="42" t="s">
        <v>159</v>
      </c>
      <c r="G29" s="42" t="s">
        <v>159</v>
      </c>
      <c r="H29" s="43" t="s">
        <v>160</v>
      </c>
      <c r="I29" s="44">
        <v>521090.91</v>
      </c>
      <c r="J29" s="44">
        <v>521090.90960000001</v>
      </c>
      <c r="K29" s="45">
        <v>521090.91</v>
      </c>
    </row>
    <row r="30" spans="1:11" ht="33.75" x14ac:dyDescent="0.2">
      <c r="A30" s="40" t="s">
        <v>1658</v>
      </c>
      <c r="B30" s="41" t="s">
        <v>1721</v>
      </c>
      <c r="C30" s="42" t="s">
        <v>140</v>
      </c>
      <c r="D30" s="42" t="s">
        <v>140</v>
      </c>
      <c r="E30" s="42" t="s">
        <v>159</v>
      </c>
      <c r="F30" s="42" t="s">
        <v>159</v>
      </c>
      <c r="G30" s="42" t="s">
        <v>159</v>
      </c>
      <c r="H30" s="43" t="s">
        <v>160</v>
      </c>
      <c r="I30" s="44">
        <v>400190.56666700001</v>
      </c>
      <c r="J30" s="44">
        <v>400190.56770000001</v>
      </c>
      <c r="K30" s="45">
        <v>1200571.700001</v>
      </c>
    </row>
    <row r="31" spans="1:11" ht="33.75" x14ac:dyDescent="0.2">
      <c r="A31" s="40" t="s">
        <v>1653</v>
      </c>
      <c r="B31" s="41" t="s">
        <v>1721</v>
      </c>
      <c r="C31" s="42" t="s">
        <v>140</v>
      </c>
      <c r="D31" s="42" t="s">
        <v>140</v>
      </c>
      <c r="E31" s="42" t="s">
        <v>159</v>
      </c>
      <c r="F31" s="42" t="s">
        <v>159</v>
      </c>
      <c r="G31" s="42" t="s">
        <v>159</v>
      </c>
      <c r="H31" s="43" t="s">
        <v>160</v>
      </c>
      <c r="I31" s="44">
        <v>476524.13333300001</v>
      </c>
      <c r="J31" s="44">
        <v>476524.13459999999</v>
      </c>
      <c r="K31" s="45">
        <v>1429572.3999989999</v>
      </c>
    </row>
    <row r="32" spans="1:11" ht="45" x14ac:dyDescent="0.2">
      <c r="A32" s="40" t="s">
        <v>58</v>
      </c>
      <c r="B32" s="41" t="s">
        <v>479</v>
      </c>
      <c r="C32" s="42" t="s">
        <v>140</v>
      </c>
      <c r="D32" s="42" t="s">
        <v>140</v>
      </c>
      <c r="E32" s="42" t="s">
        <v>159</v>
      </c>
      <c r="F32" s="42" t="s">
        <v>159</v>
      </c>
      <c r="G32" s="42" t="s">
        <v>159</v>
      </c>
      <c r="H32" s="43" t="s">
        <v>160</v>
      </c>
      <c r="I32" s="44">
        <v>182974.19</v>
      </c>
      <c r="J32" s="44">
        <v>165974.39999999999</v>
      </c>
      <c r="K32" s="45">
        <v>548922.56999999995</v>
      </c>
    </row>
    <row r="33" spans="1:11" ht="67.5" x14ac:dyDescent="0.2">
      <c r="A33" s="40" t="s">
        <v>3</v>
      </c>
      <c r="B33" s="41" t="s">
        <v>1124</v>
      </c>
      <c r="C33" s="42" t="s">
        <v>149</v>
      </c>
      <c r="D33" s="42" t="s">
        <v>159</v>
      </c>
      <c r="E33" s="42" t="s">
        <v>149</v>
      </c>
      <c r="F33" s="42" t="s">
        <v>159</v>
      </c>
      <c r="G33" s="42" t="s">
        <v>159</v>
      </c>
      <c r="H33" s="43" t="s">
        <v>160</v>
      </c>
      <c r="I33" s="44">
        <v>157269.04300000001</v>
      </c>
      <c r="J33" s="44">
        <v>157489.57819999999</v>
      </c>
      <c r="K33" s="45">
        <v>1572690.43</v>
      </c>
    </row>
    <row r="34" spans="1:11" ht="22.5" x14ac:dyDescent="0.2">
      <c r="A34" s="40" t="s">
        <v>2</v>
      </c>
      <c r="B34" s="41" t="s">
        <v>111</v>
      </c>
      <c r="C34" s="42" t="s">
        <v>476</v>
      </c>
      <c r="D34" s="42" t="s">
        <v>159</v>
      </c>
      <c r="E34" s="42" t="s">
        <v>476</v>
      </c>
      <c r="F34" s="42" t="s">
        <v>159</v>
      </c>
      <c r="G34" s="42" t="s">
        <v>159</v>
      </c>
      <c r="H34" s="43" t="s">
        <v>160</v>
      </c>
      <c r="I34" s="44">
        <v>105393.178183</v>
      </c>
      <c r="J34" s="44">
        <v>105393.1781</v>
      </c>
      <c r="K34" s="45">
        <v>1159324.9600130001</v>
      </c>
    </row>
    <row r="35" spans="1:11" ht="33.75" x14ac:dyDescent="0.2">
      <c r="A35" s="40" t="s">
        <v>23</v>
      </c>
      <c r="B35" s="41" t="s">
        <v>101</v>
      </c>
      <c r="C35" s="42" t="s">
        <v>137</v>
      </c>
      <c r="D35" s="42" t="s">
        <v>159</v>
      </c>
      <c r="E35" s="42" t="s">
        <v>137</v>
      </c>
      <c r="F35" s="42" t="s">
        <v>159</v>
      </c>
      <c r="G35" s="42" t="s">
        <v>159</v>
      </c>
      <c r="H35" s="43" t="s">
        <v>160</v>
      </c>
      <c r="I35" s="44">
        <v>145268.85999999999</v>
      </c>
      <c r="J35" s="44">
        <v>145268.8567</v>
      </c>
      <c r="K35" s="45">
        <v>145268.85999999999</v>
      </c>
    </row>
    <row r="36" spans="1:11" ht="33.75" x14ac:dyDescent="0.2">
      <c r="A36" s="40" t="s">
        <v>22</v>
      </c>
      <c r="B36" s="41" t="s">
        <v>110</v>
      </c>
      <c r="C36" s="42" t="s">
        <v>137</v>
      </c>
      <c r="D36" s="42" t="s">
        <v>159</v>
      </c>
      <c r="E36" s="42" t="s">
        <v>137</v>
      </c>
      <c r="F36" s="42" t="s">
        <v>159</v>
      </c>
      <c r="G36" s="42" t="s">
        <v>159</v>
      </c>
      <c r="H36" s="43" t="s">
        <v>160</v>
      </c>
      <c r="I36" s="44">
        <v>143586.89000000001</v>
      </c>
      <c r="J36" s="44">
        <v>143586.8897</v>
      </c>
      <c r="K36" s="45">
        <v>143586.89000000001</v>
      </c>
    </row>
    <row r="37" spans="1:11" ht="33.75" x14ac:dyDescent="0.2">
      <c r="A37" s="40" t="s">
        <v>21</v>
      </c>
      <c r="B37" s="41" t="s">
        <v>109</v>
      </c>
      <c r="C37" s="42" t="s">
        <v>137</v>
      </c>
      <c r="D37" s="42" t="s">
        <v>159</v>
      </c>
      <c r="E37" s="42" t="s">
        <v>137</v>
      </c>
      <c r="F37" s="42" t="s">
        <v>159</v>
      </c>
      <c r="G37" s="42" t="s">
        <v>159</v>
      </c>
      <c r="H37" s="43" t="s">
        <v>160</v>
      </c>
      <c r="I37" s="44">
        <v>150004.92000000001</v>
      </c>
      <c r="J37" s="44">
        <v>150004.92259999999</v>
      </c>
      <c r="K37" s="45">
        <v>150004.92000000001</v>
      </c>
    </row>
    <row r="38" spans="1:11" ht="33.75" x14ac:dyDescent="0.2">
      <c r="A38" s="40" t="s">
        <v>57</v>
      </c>
      <c r="B38" s="41" t="s">
        <v>108</v>
      </c>
      <c r="C38" s="42" t="s">
        <v>138</v>
      </c>
      <c r="D38" s="42" t="s">
        <v>159</v>
      </c>
      <c r="E38" s="42" t="s">
        <v>138</v>
      </c>
      <c r="F38" s="42" t="s">
        <v>159</v>
      </c>
      <c r="G38" s="42" t="s">
        <v>159</v>
      </c>
      <c r="H38" s="43" t="s">
        <v>160</v>
      </c>
      <c r="I38" s="44">
        <v>139510.59</v>
      </c>
      <c r="J38" s="44">
        <v>139510.5906</v>
      </c>
      <c r="K38" s="45">
        <v>279021.18</v>
      </c>
    </row>
    <row r="39" spans="1:11" ht="45" x14ac:dyDescent="0.2">
      <c r="A39" s="40" t="s">
        <v>80</v>
      </c>
      <c r="B39" s="41" t="s">
        <v>370</v>
      </c>
      <c r="C39" s="42" t="s">
        <v>165</v>
      </c>
      <c r="D39" s="42" t="s">
        <v>159</v>
      </c>
      <c r="E39" s="42" t="s">
        <v>165</v>
      </c>
      <c r="F39" s="42" t="s">
        <v>159</v>
      </c>
      <c r="G39" s="42" t="s">
        <v>159</v>
      </c>
      <c r="H39" s="43" t="s">
        <v>160</v>
      </c>
      <c r="I39" s="44">
        <v>110154.677</v>
      </c>
      <c r="J39" s="44">
        <v>110154.67690000001</v>
      </c>
      <c r="K39" s="45">
        <v>2203093.54</v>
      </c>
    </row>
    <row r="40" spans="1:11" ht="33.75" x14ac:dyDescent="0.2">
      <c r="A40" s="40" t="s">
        <v>71</v>
      </c>
      <c r="B40" s="41" t="s">
        <v>1125</v>
      </c>
      <c r="C40" s="42" t="s">
        <v>137</v>
      </c>
      <c r="D40" s="42" t="s">
        <v>159</v>
      </c>
      <c r="E40" s="42" t="s">
        <v>137</v>
      </c>
      <c r="F40" s="42" t="s">
        <v>159</v>
      </c>
      <c r="G40" s="42" t="s">
        <v>159</v>
      </c>
      <c r="H40" s="43" t="s">
        <v>160</v>
      </c>
      <c r="I40" s="44">
        <v>75062.149999999994</v>
      </c>
      <c r="J40" s="44">
        <v>75062.146399999998</v>
      </c>
      <c r="K40" s="45">
        <v>75062.149999999994</v>
      </c>
    </row>
    <row r="41" spans="1:11" ht="45" x14ac:dyDescent="0.2">
      <c r="A41" s="40" t="s">
        <v>134</v>
      </c>
      <c r="B41" s="41" t="s">
        <v>135</v>
      </c>
      <c r="C41" s="42" t="s">
        <v>1767</v>
      </c>
      <c r="D41" s="42" t="s">
        <v>159</v>
      </c>
      <c r="E41" s="42" t="s">
        <v>1767</v>
      </c>
      <c r="F41" s="42" t="s">
        <v>159</v>
      </c>
      <c r="G41" s="42" t="s">
        <v>159</v>
      </c>
      <c r="H41" s="43" t="s">
        <v>160</v>
      </c>
      <c r="I41" s="44">
        <v>149611.11207199999</v>
      </c>
      <c r="J41" s="44">
        <v>149611.11110000001</v>
      </c>
      <c r="K41" s="45">
        <v>7929388.9398159999</v>
      </c>
    </row>
    <row r="42" spans="1:11" ht="45" x14ac:dyDescent="0.2">
      <c r="A42" s="40" t="s">
        <v>67</v>
      </c>
      <c r="B42" s="41" t="s">
        <v>107</v>
      </c>
      <c r="C42" s="42" t="s">
        <v>140</v>
      </c>
      <c r="D42" s="42" t="s">
        <v>159</v>
      </c>
      <c r="E42" s="42" t="s">
        <v>140</v>
      </c>
      <c r="F42" s="42" t="s">
        <v>159</v>
      </c>
      <c r="G42" s="42" t="s">
        <v>159</v>
      </c>
      <c r="H42" s="43" t="s">
        <v>160</v>
      </c>
      <c r="I42" s="44">
        <v>170977.77333299999</v>
      </c>
      <c r="J42" s="44">
        <v>170977.77470000001</v>
      </c>
      <c r="K42" s="45">
        <v>512933.319999</v>
      </c>
    </row>
    <row r="43" spans="1:11" ht="45" x14ac:dyDescent="0.2">
      <c r="A43" s="40" t="s">
        <v>62</v>
      </c>
      <c r="B43" s="41" t="s">
        <v>107</v>
      </c>
      <c r="C43" s="42" t="s">
        <v>140</v>
      </c>
      <c r="D43" s="42" t="s">
        <v>159</v>
      </c>
      <c r="E43" s="42" t="s">
        <v>140</v>
      </c>
      <c r="F43" s="42" t="s">
        <v>159</v>
      </c>
      <c r="G43" s="42" t="s">
        <v>159</v>
      </c>
      <c r="H43" s="43" t="s">
        <v>160</v>
      </c>
      <c r="I43" s="44">
        <v>161688.89000000001</v>
      </c>
      <c r="J43" s="44">
        <v>161688.88920000001</v>
      </c>
      <c r="K43" s="45">
        <v>485066.67</v>
      </c>
    </row>
    <row r="44" spans="1:11" ht="45" x14ac:dyDescent="0.2">
      <c r="A44" s="40" t="s">
        <v>66</v>
      </c>
      <c r="B44" s="41" t="s">
        <v>107</v>
      </c>
      <c r="C44" s="42" t="s">
        <v>137</v>
      </c>
      <c r="D44" s="42" t="s">
        <v>159</v>
      </c>
      <c r="E44" s="42" t="s">
        <v>137</v>
      </c>
      <c r="F44" s="42" t="s">
        <v>159</v>
      </c>
      <c r="G44" s="42" t="s">
        <v>159</v>
      </c>
      <c r="H44" s="43" t="s">
        <v>160</v>
      </c>
      <c r="I44" s="44">
        <v>169777.770001</v>
      </c>
      <c r="J44" s="44">
        <v>169777.77859999999</v>
      </c>
      <c r="K44" s="45">
        <v>169777.770001</v>
      </c>
    </row>
    <row r="45" spans="1:11" ht="33.75" x14ac:dyDescent="0.2">
      <c r="A45" s="40" t="s">
        <v>1589</v>
      </c>
      <c r="B45" s="41" t="s">
        <v>1729</v>
      </c>
      <c r="C45" s="42" t="s">
        <v>137</v>
      </c>
      <c r="D45" s="42" t="s">
        <v>137</v>
      </c>
      <c r="E45" s="42" t="s">
        <v>159</v>
      </c>
      <c r="F45" s="42" t="s">
        <v>159</v>
      </c>
      <c r="G45" s="42" t="s">
        <v>159</v>
      </c>
      <c r="H45" s="43" t="s">
        <v>160</v>
      </c>
      <c r="I45" s="44">
        <v>43565.78</v>
      </c>
      <c r="J45" s="44">
        <v>43565.782099999997</v>
      </c>
      <c r="K45" s="45">
        <v>43565.78</v>
      </c>
    </row>
    <row r="46" spans="1:11" ht="56.25" x14ac:dyDescent="0.2">
      <c r="A46" s="40" t="s">
        <v>1126</v>
      </c>
      <c r="B46" s="41" t="s">
        <v>1127</v>
      </c>
      <c r="C46" s="42" t="s">
        <v>1128</v>
      </c>
      <c r="D46" s="42" t="s">
        <v>159</v>
      </c>
      <c r="E46" s="42" t="s">
        <v>1128</v>
      </c>
      <c r="F46" s="42" t="s">
        <v>159</v>
      </c>
      <c r="G46" s="42" t="s">
        <v>159</v>
      </c>
      <c r="H46" s="43" t="s">
        <v>160</v>
      </c>
      <c r="I46" s="44">
        <v>374253.297639</v>
      </c>
      <c r="J46" s="44">
        <v>374253.29759999999</v>
      </c>
      <c r="K46" s="45">
        <v>26946237.430008002</v>
      </c>
    </row>
    <row r="47" spans="1:11" ht="67.5" x14ac:dyDescent="0.2">
      <c r="A47" s="40" t="s">
        <v>578</v>
      </c>
      <c r="B47" s="41" t="s">
        <v>1131</v>
      </c>
      <c r="C47" s="42" t="s">
        <v>1132</v>
      </c>
      <c r="D47" s="42" t="s">
        <v>159</v>
      </c>
      <c r="E47" s="42" t="s">
        <v>1132</v>
      </c>
      <c r="F47" s="42" t="s">
        <v>159</v>
      </c>
      <c r="G47" s="42" t="s">
        <v>159</v>
      </c>
      <c r="H47" s="43" t="s">
        <v>160</v>
      </c>
      <c r="I47" s="44">
        <v>400136.711923</v>
      </c>
      <c r="J47" s="44">
        <v>399771.8616</v>
      </c>
      <c r="K47" s="45">
        <v>83228436.079983994</v>
      </c>
    </row>
    <row r="48" spans="1:11" ht="22.5" x14ac:dyDescent="0.2">
      <c r="A48" s="40" t="s">
        <v>55</v>
      </c>
      <c r="B48" s="41" t="s">
        <v>1723</v>
      </c>
      <c r="C48" s="42" t="s">
        <v>137</v>
      </c>
      <c r="D48" s="42" t="s">
        <v>137</v>
      </c>
      <c r="E48" s="42" t="s">
        <v>159</v>
      </c>
      <c r="F48" s="42" t="s">
        <v>159</v>
      </c>
      <c r="G48" s="42" t="s">
        <v>159</v>
      </c>
      <c r="H48" s="43" t="s">
        <v>160</v>
      </c>
      <c r="I48" s="44">
        <v>1311589.55</v>
      </c>
      <c r="J48" s="44">
        <v>1311589.5523000001</v>
      </c>
      <c r="K48" s="45">
        <v>1311589.55</v>
      </c>
    </row>
    <row r="49" spans="1:11" ht="45" x14ac:dyDescent="0.2">
      <c r="A49" s="40" t="s">
        <v>385</v>
      </c>
      <c r="B49" s="41" t="s">
        <v>477</v>
      </c>
      <c r="C49" s="42" t="s">
        <v>137</v>
      </c>
      <c r="D49" s="42" t="s">
        <v>137</v>
      </c>
      <c r="E49" s="42" t="s">
        <v>159</v>
      </c>
      <c r="F49" s="42" t="s">
        <v>159</v>
      </c>
      <c r="G49" s="42" t="s">
        <v>159</v>
      </c>
      <c r="H49" s="43" t="s">
        <v>160</v>
      </c>
      <c r="I49" s="44">
        <v>454160.77</v>
      </c>
      <c r="J49" s="44">
        <v>454160.76620000001</v>
      </c>
      <c r="K49" s="45">
        <v>454160.77</v>
      </c>
    </row>
    <row r="50" spans="1:11" ht="33.75" x14ac:dyDescent="0.2">
      <c r="A50" s="40" t="s">
        <v>390</v>
      </c>
      <c r="B50" s="41" t="s">
        <v>577</v>
      </c>
      <c r="C50" s="42" t="s">
        <v>137</v>
      </c>
      <c r="D50" s="42" t="s">
        <v>137</v>
      </c>
      <c r="E50" s="42" t="s">
        <v>159</v>
      </c>
      <c r="F50" s="42" t="s">
        <v>159</v>
      </c>
      <c r="G50" s="42" t="s">
        <v>159</v>
      </c>
      <c r="H50" s="43" t="s">
        <v>160</v>
      </c>
      <c r="I50" s="44">
        <v>262790.69</v>
      </c>
      <c r="J50" s="44">
        <v>262790.68949999998</v>
      </c>
      <c r="K50" s="45">
        <v>262790.69</v>
      </c>
    </row>
    <row r="51" spans="1:11" ht="33.75" x14ac:dyDescent="0.2">
      <c r="A51" s="40" t="s">
        <v>579</v>
      </c>
      <c r="B51" s="41" t="s">
        <v>580</v>
      </c>
      <c r="C51" s="42" t="s">
        <v>581</v>
      </c>
      <c r="D51" s="42" t="s">
        <v>159</v>
      </c>
      <c r="E51" s="42" t="s">
        <v>581</v>
      </c>
      <c r="F51" s="42" t="s">
        <v>159</v>
      </c>
      <c r="G51" s="42" t="s">
        <v>159</v>
      </c>
      <c r="H51" s="43" t="s">
        <v>160</v>
      </c>
      <c r="I51" s="44">
        <v>183782.12400000001</v>
      </c>
      <c r="J51" s="44">
        <v>183782.12400000001</v>
      </c>
      <c r="K51" s="45">
        <v>16540391.16</v>
      </c>
    </row>
    <row r="52" spans="1:11" ht="22.5" x14ac:dyDescent="0.2">
      <c r="A52" s="40" t="s">
        <v>4</v>
      </c>
      <c r="B52" s="41" t="s">
        <v>1276</v>
      </c>
      <c r="C52" s="42" t="s">
        <v>147</v>
      </c>
      <c r="D52" s="42" t="s">
        <v>159</v>
      </c>
      <c r="E52" s="42" t="s">
        <v>147</v>
      </c>
      <c r="F52" s="42" t="s">
        <v>159</v>
      </c>
      <c r="G52" s="42" t="s">
        <v>159</v>
      </c>
      <c r="H52" s="43" t="s">
        <v>160</v>
      </c>
      <c r="I52" s="44">
        <v>102078.822667</v>
      </c>
      <c r="J52" s="44">
        <v>102632.3085</v>
      </c>
      <c r="K52" s="45">
        <v>3062364.6800099998</v>
      </c>
    </row>
    <row r="53" spans="1:11" ht="56.25" x14ac:dyDescent="0.2">
      <c r="A53" s="40" t="s">
        <v>650</v>
      </c>
      <c r="B53" s="41" t="s">
        <v>1130</v>
      </c>
      <c r="C53" s="42" t="s">
        <v>137</v>
      </c>
      <c r="D53" s="42" t="s">
        <v>159</v>
      </c>
      <c r="E53" s="42" t="s">
        <v>137</v>
      </c>
      <c r="F53" s="42" t="s">
        <v>159</v>
      </c>
      <c r="G53" s="42" t="s">
        <v>159</v>
      </c>
      <c r="H53" s="43" t="s">
        <v>160</v>
      </c>
      <c r="I53" s="44">
        <v>136218.32</v>
      </c>
      <c r="J53" s="44">
        <v>136218.31640000001</v>
      </c>
      <c r="K53" s="45">
        <v>136218.32</v>
      </c>
    </row>
    <row r="54" spans="1:11" ht="33.75" x14ac:dyDescent="0.2">
      <c r="A54" s="40" t="s">
        <v>24</v>
      </c>
      <c r="B54" s="41" t="s">
        <v>97</v>
      </c>
      <c r="C54" s="42" t="s">
        <v>137</v>
      </c>
      <c r="D54" s="42" t="s">
        <v>159</v>
      </c>
      <c r="E54" s="42" t="s">
        <v>137</v>
      </c>
      <c r="F54" s="42" t="s">
        <v>159</v>
      </c>
      <c r="G54" s="42" t="s">
        <v>159</v>
      </c>
      <c r="H54" s="43" t="s">
        <v>160</v>
      </c>
      <c r="I54" s="44">
        <v>141506.56</v>
      </c>
      <c r="J54" s="44">
        <v>141506.56020000001</v>
      </c>
      <c r="K54" s="45">
        <v>141506.56</v>
      </c>
    </row>
    <row r="55" spans="1:11" ht="56.25" x14ac:dyDescent="0.2">
      <c r="A55" s="40" t="s">
        <v>383</v>
      </c>
      <c r="B55" s="41" t="s">
        <v>478</v>
      </c>
      <c r="C55" s="42" t="s">
        <v>1726</v>
      </c>
      <c r="D55" s="42" t="s">
        <v>138</v>
      </c>
      <c r="E55" s="42" t="s">
        <v>1727</v>
      </c>
      <c r="F55" s="42" t="s">
        <v>159</v>
      </c>
      <c r="G55" s="42" t="s">
        <v>159</v>
      </c>
      <c r="H55" s="43" t="s">
        <v>160</v>
      </c>
      <c r="I55" s="44">
        <v>138064.777244</v>
      </c>
      <c r="J55" s="44">
        <v>138064.77739999999</v>
      </c>
      <c r="K55" s="45">
        <v>8007757.0801520003</v>
      </c>
    </row>
    <row r="56" spans="1:11" ht="45" x14ac:dyDescent="0.2">
      <c r="A56" s="40" t="s">
        <v>52</v>
      </c>
      <c r="B56" s="41" t="s">
        <v>1728</v>
      </c>
      <c r="C56" s="42" t="s">
        <v>138</v>
      </c>
      <c r="D56" s="42" t="s">
        <v>138</v>
      </c>
      <c r="E56" s="42" t="s">
        <v>159</v>
      </c>
      <c r="F56" s="42" t="s">
        <v>159</v>
      </c>
      <c r="G56" s="42" t="s">
        <v>159</v>
      </c>
      <c r="H56" s="43" t="s">
        <v>160</v>
      </c>
      <c r="I56" s="44">
        <v>99000</v>
      </c>
      <c r="J56" s="44">
        <v>133282.7867</v>
      </c>
      <c r="K56" s="45">
        <v>198000</v>
      </c>
    </row>
    <row r="57" spans="1:11" ht="56.25" x14ac:dyDescent="0.2">
      <c r="A57" s="40" t="s">
        <v>459</v>
      </c>
      <c r="B57" s="41" t="s">
        <v>475</v>
      </c>
      <c r="C57" s="42" t="s">
        <v>1722</v>
      </c>
      <c r="D57" s="42" t="s">
        <v>150</v>
      </c>
      <c r="E57" s="42" t="s">
        <v>1287</v>
      </c>
      <c r="F57" s="42" t="s">
        <v>159</v>
      </c>
      <c r="G57" s="42" t="s">
        <v>159</v>
      </c>
      <c r="H57" s="43" t="s">
        <v>160</v>
      </c>
      <c r="I57" s="44">
        <v>198259.10694</v>
      </c>
      <c r="J57" s="44">
        <v>198259.10930000001</v>
      </c>
      <c r="K57" s="45">
        <v>7137327.8498400003</v>
      </c>
    </row>
    <row r="58" spans="1:11" ht="45" x14ac:dyDescent="0.2">
      <c r="A58" s="40" t="s">
        <v>65</v>
      </c>
      <c r="B58" s="41" t="s">
        <v>584</v>
      </c>
      <c r="C58" s="42" t="s">
        <v>165</v>
      </c>
      <c r="D58" s="42" t="s">
        <v>159</v>
      </c>
      <c r="E58" s="42" t="s">
        <v>165</v>
      </c>
      <c r="F58" s="42" t="s">
        <v>159</v>
      </c>
      <c r="G58" s="42" t="s">
        <v>159</v>
      </c>
      <c r="H58" s="43" t="s">
        <v>160</v>
      </c>
      <c r="I58" s="44">
        <v>615135.11499999999</v>
      </c>
      <c r="J58" s="44">
        <v>615135.1152</v>
      </c>
      <c r="K58" s="45">
        <v>12302702.300000001</v>
      </c>
    </row>
    <row r="59" spans="1:11" ht="33.75" x14ac:dyDescent="0.2">
      <c r="A59" s="40" t="s">
        <v>1556</v>
      </c>
      <c r="B59" s="41" t="s">
        <v>1730</v>
      </c>
      <c r="C59" s="42" t="s">
        <v>140</v>
      </c>
      <c r="D59" s="42" t="s">
        <v>140</v>
      </c>
      <c r="E59" s="42" t="s">
        <v>159</v>
      </c>
      <c r="F59" s="42" t="s">
        <v>159</v>
      </c>
      <c r="G59" s="42" t="s">
        <v>159</v>
      </c>
      <c r="H59" s="43" t="s">
        <v>160</v>
      </c>
      <c r="I59" s="44">
        <v>279951.46333300002</v>
      </c>
      <c r="J59" s="44">
        <v>279951.46360000002</v>
      </c>
      <c r="K59" s="45">
        <v>839854.38999900001</v>
      </c>
    </row>
    <row r="60" spans="1:11" ht="33.75" x14ac:dyDescent="0.2">
      <c r="A60" s="40" t="s">
        <v>391</v>
      </c>
      <c r="B60" s="41" t="s">
        <v>483</v>
      </c>
      <c r="C60" s="42" t="s">
        <v>140</v>
      </c>
      <c r="D60" s="42" t="s">
        <v>159</v>
      </c>
      <c r="E60" s="42" t="s">
        <v>140</v>
      </c>
      <c r="F60" s="42" t="s">
        <v>159</v>
      </c>
      <c r="G60" s="42" t="s">
        <v>159</v>
      </c>
      <c r="H60" s="43" t="s">
        <v>160</v>
      </c>
      <c r="I60" s="44">
        <v>37246.54</v>
      </c>
      <c r="J60" s="44">
        <v>37246.538500000002</v>
      </c>
      <c r="K60" s="45">
        <v>111739.62</v>
      </c>
    </row>
    <row r="61" spans="1:11" ht="33.75" x14ac:dyDescent="0.2">
      <c r="A61" s="40" t="s">
        <v>393</v>
      </c>
      <c r="B61" s="41" t="s">
        <v>484</v>
      </c>
      <c r="C61" s="42" t="s">
        <v>142</v>
      </c>
      <c r="D61" s="42" t="s">
        <v>146</v>
      </c>
      <c r="E61" s="42" t="s">
        <v>161</v>
      </c>
      <c r="F61" s="42" t="s">
        <v>159</v>
      </c>
      <c r="G61" s="42" t="s">
        <v>159</v>
      </c>
      <c r="H61" s="43" t="s">
        <v>160</v>
      </c>
      <c r="I61" s="44">
        <v>113000</v>
      </c>
      <c r="J61" s="44">
        <v>113000</v>
      </c>
      <c r="K61" s="45">
        <v>452000</v>
      </c>
    </row>
    <row r="62" spans="1:11" ht="45" x14ac:dyDescent="0.2">
      <c r="A62" s="40" t="s">
        <v>1619</v>
      </c>
      <c r="B62" s="41" t="s">
        <v>1731</v>
      </c>
      <c r="C62" s="42" t="s">
        <v>138</v>
      </c>
      <c r="D62" s="42" t="s">
        <v>138</v>
      </c>
      <c r="E62" s="42" t="s">
        <v>159</v>
      </c>
      <c r="F62" s="42" t="s">
        <v>159</v>
      </c>
      <c r="G62" s="42" t="s">
        <v>159</v>
      </c>
      <c r="H62" s="43" t="s">
        <v>160</v>
      </c>
      <c r="I62" s="44">
        <v>28761.275000000001</v>
      </c>
      <c r="J62" s="44">
        <v>28761.276900000001</v>
      </c>
      <c r="K62" s="45">
        <v>57522.55</v>
      </c>
    </row>
    <row r="63" spans="1:11" ht="45" x14ac:dyDescent="0.2">
      <c r="A63" s="40" t="s">
        <v>583</v>
      </c>
      <c r="B63" s="41" t="s">
        <v>584</v>
      </c>
      <c r="C63" s="42" t="s">
        <v>1129</v>
      </c>
      <c r="D63" s="42" t="s">
        <v>159</v>
      </c>
      <c r="E63" s="42" t="s">
        <v>1129</v>
      </c>
      <c r="F63" s="42" t="s">
        <v>159</v>
      </c>
      <c r="G63" s="42" t="s">
        <v>159</v>
      </c>
      <c r="H63" s="43" t="s">
        <v>160</v>
      </c>
      <c r="I63" s="44">
        <v>676955.838124</v>
      </c>
      <c r="J63" s="44">
        <v>694913.3824</v>
      </c>
      <c r="K63" s="45">
        <v>32493880.229952</v>
      </c>
    </row>
    <row r="64" spans="1:11" ht="45" x14ac:dyDescent="0.2">
      <c r="A64" s="40" t="s">
        <v>27</v>
      </c>
      <c r="B64" s="41" t="s">
        <v>166</v>
      </c>
      <c r="C64" s="42" t="s">
        <v>138</v>
      </c>
      <c r="D64" s="42" t="s">
        <v>159</v>
      </c>
      <c r="E64" s="42" t="s">
        <v>138</v>
      </c>
      <c r="F64" s="42" t="s">
        <v>159</v>
      </c>
      <c r="G64" s="42" t="s">
        <v>159</v>
      </c>
      <c r="H64" s="43" t="s">
        <v>160</v>
      </c>
      <c r="I64" s="44">
        <v>588615.57999999996</v>
      </c>
      <c r="J64" s="44">
        <v>588615.57949999999</v>
      </c>
      <c r="K64" s="45">
        <v>1177231.1599999999</v>
      </c>
    </row>
    <row r="65" spans="1:11" ht="33.75" x14ac:dyDescent="0.2">
      <c r="A65" s="40" t="s">
        <v>1535</v>
      </c>
      <c r="B65" s="41" t="s">
        <v>1732</v>
      </c>
      <c r="C65" s="42" t="s">
        <v>149</v>
      </c>
      <c r="D65" s="42" t="s">
        <v>159</v>
      </c>
      <c r="E65" s="42" t="s">
        <v>149</v>
      </c>
      <c r="F65" s="42" t="s">
        <v>159</v>
      </c>
      <c r="G65" s="42" t="s">
        <v>159</v>
      </c>
      <c r="H65" s="43" t="s">
        <v>160</v>
      </c>
      <c r="I65" s="44">
        <v>535067.38899999997</v>
      </c>
      <c r="J65" s="44">
        <v>677674.826</v>
      </c>
      <c r="K65" s="45">
        <v>5350673.8899999997</v>
      </c>
    </row>
    <row r="66" spans="1:11" ht="56.25" x14ac:dyDescent="0.2">
      <c r="A66" s="40" t="s">
        <v>86</v>
      </c>
      <c r="B66" s="41" t="s">
        <v>100</v>
      </c>
      <c r="C66" s="42" t="s">
        <v>138</v>
      </c>
      <c r="D66" s="42" t="s">
        <v>159</v>
      </c>
      <c r="E66" s="42" t="s">
        <v>138</v>
      </c>
      <c r="F66" s="42" t="s">
        <v>159</v>
      </c>
      <c r="G66" s="42" t="s">
        <v>159</v>
      </c>
      <c r="H66" s="43" t="s">
        <v>160</v>
      </c>
      <c r="I66" s="44">
        <v>539382.35</v>
      </c>
      <c r="J66" s="44">
        <v>527025.56099999999</v>
      </c>
      <c r="K66" s="45">
        <v>1078764.7</v>
      </c>
    </row>
    <row r="67" spans="1:11" ht="45" x14ac:dyDescent="0.2">
      <c r="A67" s="40" t="s">
        <v>474</v>
      </c>
      <c r="B67" s="41" t="s">
        <v>491</v>
      </c>
      <c r="C67" s="42" t="s">
        <v>1287</v>
      </c>
      <c r="D67" s="42" t="s">
        <v>159</v>
      </c>
      <c r="E67" s="42" t="s">
        <v>1287</v>
      </c>
      <c r="F67" s="42" t="s">
        <v>165</v>
      </c>
      <c r="G67" s="42" t="s">
        <v>159</v>
      </c>
      <c r="H67" s="43" t="s">
        <v>160</v>
      </c>
      <c r="I67" s="44">
        <v>94805.337618999998</v>
      </c>
      <c r="J67" s="44">
        <v>116654.73970000001</v>
      </c>
      <c r="K67" s="45">
        <v>1990912.0899990001</v>
      </c>
    </row>
    <row r="68" spans="1:11" ht="45" x14ac:dyDescent="0.2">
      <c r="A68" s="40" t="s">
        <v>1626</v>
      </c>
      <c r="B68" s="41" t="s">
        <v>1733</v>
      </c>
      <c r="C68" s="42" t="s">
        <v>138</v>
      </c>
      <c r="D68" s="42" t="s">
        <v>138</v>
      </c>
      <c r="E68" s="42" t="s">
        <v>159</v>
      </c>
      <c r="F68" s="42" t="s">
        <v>159</v>
      </c>
      <c r="G68" s="42" t="s">
        <v>159</v>
      </c>
      <c r="H68" s="43" t="s">
        <v>160</v>
      </c>
      <c r="I68" s="44">
        <v>312229.40000000002</v>
      </c>
      <c r="J68" s="44">
        <v>312229.3996</v>
      </c>
      <c r="K68" s="45">
        <v>624458.80000000005</v>
      </c>
    </row>
    <row r="69" spans="1:11" ht="45" x14ac:dyDescent="0.2">
      <c r="A69" s="40" t="s">
        <v>1527</v>
      </c>
      <c r="B69" s="41" t="s">
        <v>1734</v>
      </c>
      <c r="C69" s="42" t="s">
        <v>137</v>
      </c>
      <c r="D69" s="42" t="s">
        <v>137</v>
      </c>
      <c r="E69" s="42" t="s">
        <v>159</v>
      </c>
      <c r="F69" s="42" t="s">
        <v>159</v>
      </c>
      <c r="G69" s="42" t="s">
        <v>159</v>
      </c>
      <c r="H69" s="43" t="s">
        <v>160</v>
      </c>
      <c r="I69" s="44">
        <v>103699.68</v>
      </c>
      <c r="J69" s="44">
        <v>103699.6799</v>
      </c>
      <c r="K69" s="45">
        <v>103699.68</v>
      </c>
    </row>
    <row r="70" spans="1:11" ht="33.75" x14ac:dyDescent="0.2">
      <c r="A70" s="40" t="s">
        <v>1281</v>
      </c>
      <c r="B70" s="41" t="s">
        <v>1282</v>
      </c>
      <c r="C70" s="42" t="s">
        <v>137</v>
      </c>
      <c r="D70" s="42" t="s">
        <v>159</v>
      </c>
      <c r="E70" s="42" t="s">
        <v>137</v>
      </c>
      <c r="F70" s="42" t="s">
        <v>159</v>
      </c>
      <c r="G70" s="42" t="s">
        <v>159</v>
      </c>
      <c r="H70" s="43" t="s">
        <v>160</v>
      </c>
      <c r="I70" s="44">
        <v>805164.35</v>
      </c>
      <c r="J70" s="44">
        <v>805164.34600000002</v>
      </c>
      <c r="K70" s="45">
        <v>805164.35</v>
      </c>
    </row>
    <row r="71" spans="1:11" ht="33.75" x14ac:dyDescent="0.2">
      <c r="A71" s="40" t="s">
        <v>1283</v>
      </c>
      <c r="B71" s="41" t="s">
        <v>1284</v>
      </c>
      <c r="C71" s="42" t="s">
        <v>138</v>
      </c>
      <c r="D71" s="42" t="s">
        <v>159</v>
      </c>
      <c r="E71" s="42" t="s">
        <v>138</v>
      </c>
      <c r="F71" s="42" t="s">
        <v>149</v>
      </c>
      <c r="G71" s="42" t="s">
        <v>159</v>
      </c>
      <c r="H71" s="43" t="s">
        <v>160</v>
      </c>
      <c r="I71" s="44">
        <v>349325.83500000002</v>
      </c>
      <c r="J71" s="44">
        <v>349325.83399999997</v>
      </c>
      <c r="K71" s="45">
        <v>698651.67</v>
      </c>
    </row>
    <row r="72" spans="1:11" ht="33.75" x14ac:dyDescent="0.2">
      <c r="A72" s="40" t="s">
        <v>1642</v>
      </c>
      <c r="B72" s="41" t="s">
        <v>1735</v>
      </c>
      <c r="C72" s="42" t="s">
        <v>140</v>
      </c>
      <c r="D72" s="42" t="s">
        <v>140</v>
      </c>
      <c r="E72" s="42" t="s">
        <v>159</v>
      </c>
      <c r="F72" s="42" t="s">
        <v>159</v>
      </c>
      <c r="G72" s="42" t="s">
        <v>159</v>
      </c>
      <c r="H72" s="43" t="s">
        <v>160</v>
      </c>
      <c r="I72" s="44">
        <v>365263.186667</v>
      </c>
      <c r="J72" s="44">
        <v>365263.18550000002</v>
      </c>
      <c r="K72" s="45">
        <v>1095789.5600010001</v>
      </c>
    </row>
    <row r="73" spans="1:11" ht="101.25" x14ac:dyDescent="0.2">
      <c r="A73" s="40" t="s">
        <v>1326</v>
      </c>
      <c r="B73" s="41" t="s">
        <v>1736</v>
      </c>
      <c r="C73" s="42" t="s">
        <v>137</v>
      </c>
      <c r="D73" s="42" t="s">
        <v>159</v>
      </c>
      <c r="E73" s="42" t="s">
        <v>137</v>
      </c>
      <c r="F73" s="42" t="s">
        <v>159</v>
      </c>
      <c r="G73" s="42" t="s">
        <v>159</v>
      </c>
      <c r="H73" s="43" t="s">
        <v>160</v>
      </c>
      <c r="I73" s="44">
        <v>87817.39</v>
      </c>
      <c r="J73" s="44">
        <v>87817.384999999995</v>
      </c>
      <c r="K73" s="45">
        <v>87817.39</v>
      </c>
    </row>
    <row r="74" spans="1:11" ht="33.75" x14ac:dyDescent="0.2">
      <c r="A74" s="40" t="s">
        <v>1135</v>
      </c>
      <c r="B74" s="41" t="s">
        <v>1136</v>
      </c>
      <c r="C74" s="42" t="s">
        <v>582</v>
      </c>
      <c r="D74" s="42" t="s">
        <v>159</v>
      </c>
      <c r="E74" s="42" t="s">
        <v>582</v>
      </c>
      <c r="F74" s="42" t="s">
        <v>165</v>
      </c>
      <c r="G74" s="42" t="s">
        <v>159</v>
      </c>
      <c r="H74" s="43" t="s">
        <v>160</v>
      </c>
      <c r="I74" s="44">
        <v>89659.674614999996</v>
      </c>
      <c r="J74" s="44">
        <v>90310.600999999995</v>
      </c>
      <c r="K74" s="45">
        <v>1165575.769995</v>
      </c>
    </row>
    <row r="75" spans="1:11" ht="67.5" x14ac:dyDescent="0.2">
      <c r="A75" s="40" t="s">
        <v>1137</v>
      </c>
      <c r="B75" s="41" t="s">
        <v>1138</v>
      </c>
      <c r="C75" s="42" t="s">
        <v>145</v>
      </c>
      <c r="D75" s="42" t="s">
        <v>159</v>
      </c>
      <c r="E75" s="42" t="s">
        <v>145</v>
      </c>
      <c r="F75" s="42" t="s">
        <v>159</v>
      </c>
      <c r="G75" s="42" t="s">
        <v>159</v>
      </c>
      <c r="H75" s="43" t="s">
        <v>160</v>
      </c>
      <c r="I75" s="44">
        <v>238312.710001</v>
      </c>
      <c r="J75" s="44">
        <v>240598</v>
      </c>
      <c r="K75" s="45">
        <v>1668188.970007</v>
      </c>
    </row>
    <row r="76" spans="1:11" ht="45" x14ac:dyDescent="0.2">
      <c r="A76" s="40" t="s">
        <v>74</v>
      </c>
      <c r="B76" s="41" t="s">
        <v>99</v>
      </c>
      <c r="C76" s="42" t="s">
        <v>139</v>
      </c>
      <c r="D76" s="42" t="s">
        <v>159</v>
      </c>
      <c r="E76" s="42" t="s">
        <v>139</v>
      </c>
      <c r="F76" s="42" t="s">
        <v>519</v>
      </c>
      <c r="G76" s="42" t="s">
        <v>159</v>
      </c>
      <c r="H76" s="43" t="s">
        <v>160</v>
      </c>
      <c r="I76" s="44">
        <v>378015.043749</v>
      </c>
      <c r="J76" s="44">
        <v>379024.8077</v>
      </c>
      <c r="K76" s="45">
        <v>3024120.349992</v>
      </c>
    </row>
    <row r="77" spans="1:11" ht="22.5" x14ac:dyDescent="0.2">
      <c r="A77" s="40" t="s">
        <v>358</v>
      </c>
      <c r="B77" s="41" t="s">
        <v>359</v>
      </c>
      <c r="C77" s="42" t="s">
        <v>140</v>
      </c>
      <c r="D77" s="42" t="s">
        <v>159</v>
      </c>
      <c r="E77" s="42" t="s">
        <v>140</v>
      </c>
      <c r="F77" s="42" t="s">
        <v>159</v>
      </c>
      <c r="G77" s="42" t="s">
        <v>159</v>
      </c>
      <c r="H77" s="43" t="s">
        <v>160</v>
      </c>
      <c r="I77" s="44">
        <v>369657.806667</v>
      </c>
      <c r="J77" s="44">
        <v>365037.08669999999</v>
      </c>
      <c r="K77" s="45">
        <v>1108973.4200009999</v>
      </c>
    </row>
    <row r="78" spans="1:11" ht="22.5" x14ac:dyDescent="0.2">
      <c r="A78" s="40" t="s">
        <v>363</v>
      </c>
      <c r="B78" s="41" t="s">
        <v>366</v>
      </c>
      <c r="C78" s="42" t="s">
        <v>137</v>
      </c>
      <c r="D78" s="42" t="s">
        <v>159</v>
      </c>
      <c r="E78" s="42" t="s">
        <v>137</v>
      </c>
      <c r="F78" s="42" t="s">
        <v>159</v>
      </c>
      <c r="G78" s="42" t="s">
        <v>159</v>
      </c>
      <c r="H78" s="43" t="s">
        <v>160</v>
      </c>
      <c r="I78" s="44">
        <v>298146.15000000002</v>
      </c>
      <c r="J78" s="44">
        <v>298146.14880000002</v>
      </c>
      <c r="K78" s="45">
        <v>298146.15000000002</v>
      </c>
    </row>
    <row r="79" spans="1:11" ht="56.25" x14ac:dyDescent="0.2">
      <c r="A79" s="40" t="s">
        <v>130</v>
      </c>
      <c r="B79" s="41" t="s">
        <v>131</v>
      </c>
      <c r="C79" s="42" t="s">
        <v>137</v>
      </c>
      <c r="D79" s="42" t="s">
        <v>159</v>
      </c>
      <c r="E79" s="42" t="s">
        <v>137</v>
      </c>
      <c r="F79" s="42" t="s">
        <v>159</v>
      </c>
      <c r="G79" s="42" t="s">
        <v>159</v>
      </c>
      <c r="H79" s="43" t="s">
        <v>160</v>
      </c>
      <c r="I79" s="44">
        <v>2497016.31</v>
      </c>
      <c r="J79" s="44">
        <v>2497016.3139999998</v>
      </c>
      <c r="K79" s="45">
        <v>2497016.31</v>
      </c>
    </row>
    <row r="80" spans="1:11" ht="45" x14ac:dyDescent="0.2">
      <c r="A80" s="40" t="s">
        <v>132</v>
      </c>
      <c r="B80" s="41" t="s">
        <v>133</v>
      </c>
      <c r="C80" s="42" t="s">
        <v>138</v>
      </c>
      <c r="D80" s="42" t="s">
        <v>159</v>
      </c>
      <c r="E80" s="42" t="s">
        <v>138</v>
      </c>
      <c r="F80" s="42" t="s">
        <v>159</v>
      </c>
      <c r="G80" s="42" t="s">
        <v>159</v>
      </c>
      <c r="H80" s="43" t="s">
        <v>160</v>
      </c>
      <c r="I80" s="44">
        <v>711287.91500000004</v>
      </c>
      <c r="J80" s="44">
        <v>711287.91330000001</v>
      </c>
      <c r="K80" s="45">
        <v>1422575.83</v>
      </c>
    </row>
    <row r="81" spans="1:11" ht="33.75" x14ac:dyDescent="0.2">
      <c r="A81" s="40" t="s">
        <v>1362</v>
      </c>
      <c r="B81" s="41" t="s">
        <v>1737</v>
      </c>
      <c r="C81" s="42" t="s">
        <v>137</v>
      </c>
      <c r="D81" s="42" t="s">
        <v>159</v>
      </c>
      <c r="E81" s="42" t="s">
        <v>137</v>
      </c>
      <c r="F81" s="42" t="s">
        <v>159</v>
      </c>
      <c r="G81" s="42" t="s">
        <v>159</v>
      </c>
      <c r="H81" s="43" t="s">
        <v>160</v>
      </c>
      <c r="I81" s="44">
        <v>1214541.96</v>
      </c>
      <c r="J81" s="44">
        <v>1214541.9563</v>
      </c>
      <c r="K81" s="45">
        <v>1214541.96</v>
      </c>
    </row>
    <row r="82" spans="1:11" ht="33.75" x14ac:dyDescent="0.2">
      <c r="A82" s="40" t="s">
        <v>1285</v>
      </c>
      <c r="B82" s="41" t="s">
        <v>1286</v>
      </c>
      <c r="C82" s="42" t="s">
        <v>142</v>
      </c>
      <c r="D82" s="42" t="s">
        <v>159</v>
      </c>
      <c r="E82" s="42" t="s">
        <v>142</v>
      </c>
      <c r="F82" s="42" t="s">
        <v>159</v>
      </c>
      <c r="G82" s="42" t="s">
        <v>159</v>
      </c>
      <c r="H82" s="43" t="s">
        <v>160</v>
      </c>
      <c r="I82" s="44">
        <v>323855.185</v>
      </c>
      <c r="J82" s="44">
        <v>328471.82400000002</v>
      </c>
      <c r="K82" s="45">
        <v>1295420.74</v>
      </c>
    </row>
    <row r="83" spans="1:11" ht="33.75" x14ac:dyDescent="0.2">
      <c r="A83" s="40" t="s">
        <v>374</v>
      </c>
      <c r="B83" s="41" t="s">
        <v>379</v>
      </c>
      <c r="C83" s="42" t="s">
        <v>138</v>
      </c>
      <c r="D83" s="42" t="s">
        <v>159</v>
      </c>
      <c r="E83" s="42" t="s">
        <v>138</v>
      </c>
      <c r="F83" s="42" t="s">
        <v>159</v>
      </c>
      <c r="G83" s="42" t="s">
        <v>159</v>
      </c>
      <c r="H83" s="43" t="s">
        <v>160</v>
      </c>
      <c r="I83" s="44">
        <v>128982.975001</v>
      </c>
      <c r="J83" s="44">
        <v>128982.9755</v>
      </c>
      <c r="K83" s="45">
        <v>257965.950002</v>
      </c>
    </row>
    <row r="84" spans="1:11" ht="45" x14ac:dyDescent="0.2">
      <c r="A84" s="40" t="s">
        <v>1605</v>
      </c>
      <c r="B84" s="41" t="s">
        <v>1739</v>
      </c>
      <c r="C84" s="42" t="s">
        <v>137</v>
      </c>
      <c r="D84" s="42" t="s">
        <v>137</v>
      </c>
      <c r="E84" s="42" t="s">
        <v>159</v>
      </c>
      <c r="F84" s="42" t="s">
        <v>159</v>
      </c>
      <c r="G84" s="42" t="s">
        <v>159</v>
      </c>
      <c r="H84" s="43" t="s">
        <v>160</v>
      </c>
      <c r="I84" s="44">
        <v>470377.57</v>
      </c>
      <c r="J84" s="44">
        <v>470377.56540000002</v>
      </c>
      <c r="K84" s="45">
        <v>470377.57</v>
      </c>
    </row>
    <row r="85" spans="1:11" ht="33.75" x14ac:dyDescent="0.2">
      <c r="A85" s="40" t="s">
        <v>389</v>
      </c>
      <c r="B85" s="41" t="s">
        <v>486</v>
      </c>
      <c r="C85" s="42" t="s">
        <v>137</v>
      </c>
      <c r="D85" s="42" t="s">
        <v>159</v>
      </c>
      <c r="E85" s="42" t="s">
        <v>137</v>
      </c>
      <c r="F85" s="42" t="s">
        <v>159</v>
      </c>
      <c r="G85" s="42" t="s">
        <v>159</v>
      </c>
      <c r="H85" s="43" t="s">
        <v>160</v>
      </c>
      <c r="I85" s="44">
        <v>559720.49</v>
      </c>
      <c r="J85" s="44">
        <v>579919.33900000004</v>
      </c>
      <c r="K85" s="45">
        <v>559720.49</v>
      </c>
    </row>
    <row r="86" spans="1:11" ht="33.75" x14ac:dyDescent="0.2">
      <c r="A86" s="40" t="s">
        <v>1594</v>
      </c>
      <c r="B86" s="41" t="s">
        <v>1743</v>
      </c>
      <c r="C86" s="42" t="s">
        <v>137</v>
      </c>
      <c r="D86" s="42" t="s">
        <v>137</v>
      </c>
      <c r="E86" s="42" t="s">
        <v>159</v>
      </c>
      <c r="F86" s="42" t="s">
        <v>159</v>
      </c>
      <c r="G86" s="42" t="s">
        <v>159</v>
      </c>
      <c r="H86" s="43" t="s">
        <v>160</v>
      </c>
      <c r="I86" s="44">
        <v>311023.99</v>
      </c>
      <c r="J86" s="44">
        <v>311023.98810000002</v>
      </c>
      <c r="K86" s="45">
        <v>311023.99</v>
      </c>
    </row>
    <row r="87" spans="1:11" ht="22.5" x14ac:dyDescent="0.2">
      <c r="A87" s="40" t="s">
        <v>59</v>
      </c>
      <c r="B87" s="41" t="s">
        <v>375</v>
      </c>
      <c r="C87" s="42" t="s">
        <v>369</v>
      </c>
      <c r="D87" s="42" t="s">
        <v>137</v>
      </c>
      <c r="E87" s="42" t="s">
        <v>476</v>
      </c>
      <c r="F87" s="42" t="s">
        <v>159</v>
      </c>
      <c r="G87" s="42" t="s">
        <v>159</v>
      </c>
      <c r="H87" s="43" t="s">
        <v>160</v>
      </c>
      <c r="I87" s="44">
        <v>492963.23083199997</v>
      </c>
      <c r="J87" s="44">
        <v>494594.81040000002</v>
      </c>
      <c r="K87" s="45">
        <v>5915558.7699840004</v>
      </c>
    </row>
    <row r="88" spans="1:11" ht="33.75" x14ac:dyDescent="0.2">
      <c r="A88" s="40" t="s">
        <v>364</v>
      </c>
      <c r="B88" s="41" t="s">
        <v>365</v>
      </c>
      <c r="C88" s="42" t="s">
        <v>146</v>
      </c>
      <c r="D88" s="42" t="s">
        <v>159</v>
      </c>
      <c r="E88" s="42" t="s">
        <v>146</v>
      </c>
      <c r="F88" s="42" t="s">
        <v>159</v>
      </c>
      <c r="G88" s="42" t="s">
        <v>159</v>
      </c>
      <c r="H88" s="43" t="s">
        <v>160</v>
      </c>
      <c r="I88" s="44">
        <v>455052.39600000001</v>
      </c>
      <c r="J88" s="44">
        <v>447514.02799999999</v>
      </c>
      <c r="K88" s="45">
        <v>2275261.98</v>
      </c>
    </row>
    <row r="89" spans="1:11" ht="56.25" x14ac:dyDescent="0.2">
      <c r="A89" s="40" t="s">
        <v>1542</v>
      </c>
      <c r="B89" s="41" t="s">
        <v>1738</v>
      </c>
      <c r="C89" s="42" t="s">
        <v>137</v>
      </c>
      <c r="D89" s="42" t="s">
        <v>140</v>
      </c>
      <c r="E89" s="42" t="s">
        <v>1713</v>
      </c>
      <c r="F89" s="42" t="s">
        <v>138</v>
      </c>
      <c r="G89" s="42" t="s">
        <v>159</v>
      </c>
      <c r="H89" s="43" t="s">
        <v>160</v>
      </c>
      <c r="I89" s="44">
        <v>152556.17000000001</v>
      </c>
      <c r="J89" s="44">
        <v>152556.1728</v>
      </c>
      <c r="K89" s="45">
        <v>152556.17000000001</v>
      </c>
    </row>
    <row r="90" spans="1:11" ht="45" x14ac:dyDescent="0.2">
      <c r="A90" s="40" t="s">
        <v>1141</v>
      </c>
      <c r="B90" s="41" t="s">
        <v>1142</v>
      </c>
      <c r="C90" s="42" t="s">
        <v>1744</v>
      </c>
      <c r="D90" s="42" t="s">
        <v>137</v>
      </c>
      <c r="E90" s="42" t="s">
        <v>487</v>
      </c>
      <c r="F90" s="42" t="s">
        <v>159</v>
      </c>
      <c r="G90" s="42" t="s">
        <v>159</v>
      </c>
      <c r="H90" s="43" t="s">
        <v>160</v>
      </c>
      <c r="I90" s="44">
        <v>348721.358824</v>
      </c>
      <c r="J90" s="44">
        <v>357987.88</v>
      </c>
      <c r="K90" s="45">
        <v>5928263.1000079997</v>
      </c>
    </row>
    <row r="91" spans="1:11" ht="22.5" x14ac:dyDescent="0.2">
      <c r="A91" s="40" t="s">
        <v>386</v>
      </c>
      <c r="B91" s="41" t="s">
        <v>485</v>
      </c>
      <c r="C91" s="42" t="s">
        <v>140</v>
      </c>
      <c r="D91" s="42" t="s">
        <v>137</v>
      </c>
      <c r="E91" s="42" t="s">
        <v>138</v>
      </c>
      <c r="F91" s="42" t="s">
        <v>159</v>
      </c>
      <c r="G91" s="42" t="s">
        <v>159</v>
      </c>
      <c r="H91" s="43" t="s">
        <v>160</v>
      </c>
      <c r="I91" s="44">
        <v>86317.513332999995</v>
      </c>
      <c r="J91" s="44">
        <v>86317.518299999996</v>
      </c>
      <c r="K91" s="45">
        <v>258952.539999</v>
      </c>
    </row>
    <row r="92" spans="1:11" ht="22.5" x14ac:dyDescent="0.2">
      <c r="A92" s="40" t="s">
        <v>1584</v>
      </c>
      <c r="B92" s="41" t="s">
        <v>1719</v>
      </c>
      <c r="C92" s="42" t="s">
        <v>137</v>
      </c>
      <c r="D92" s="42" t="s">
        <v>137</v>
      </c>
      <c r="E92" s="42" t="s">
        <v>159</v>
      </c>
      <c r="F92" s="42" t="s">
        <v>159</v>
      </c>
      <c r="G92" s="42" t="s">
        <v>159</v>
      </c>
      <c r="H92" s="43" t="s">
        <v>160</v>
      </c>
      <c r="I92" s="44">
        <v>176879.58</v>
      </c>
      <c r="J92" s="44">
        <v>176879.58110000001</v>
      </c>
      <c r="K92" s="45">
        <v>176879.58</v>
      </c>
    </row>
    <row r="93" spans="1:11" ht="67.5" x14ac:dyDescent="0.2">
      <c r="A93" s="40" t="s">
        <v>1552</v>
      </c>
      <c r="B93" s="41" t="s">
        <v>1720</v>
      </c>
      <c r="C93" s="42" t="s">
        <v>138</v>
      </c>
      <c r="D93" s="42" t="s">
        <v>138</v>
      </c>
      <c r="E93" s="42" t="s">
        <v>159</v>
      </c>
      <c r="F93" s="42" t="s">
        <v>159</v>
      </c>
      <c r="G93" s="42" t="s">
        <v>159</v>
      </c>
      <c r="H93" s="43" t="s">
        <v>160</v>
      </c>
      <c r="I93" s="44">
        <v>265065.59999999998</v>
      </c>
      <c r="J93" s="44">
        <v>264467.98719999997</v>
      </c>
      <c r="K93" s="45">
        <v>530131.19999999995</v>
      </c>
    </row>
    <row r="94" spans="1:11" ht="33.75" x14ac:dyDescent="0.2">
      <c r="A94" s="40" t="s">
        <v>1309</v>
      </c>
      <c r="B94" s="41" t="s">
        <v>1740</v>
      </c>
      <c r="C94" s="42" t="s">
        <v>137</v>
      </c>
      <c r="D94" s="42" t="s">
        <v>137</v>
      </c>
      <c r="E94" s="42" t="s">
        <v>159</v>
      </c>
      <c r="F94" s="42" t="s">
        <v>159</v>
      </c>
      <c r="G94" s="42" t="s">
        <v>159</v>
      </c>
      <c r="H94" s="43" t="s">
        <v>160</v>
      </c>
      <c r="I94" s="44">
        <v>356734.64</v>
      </c>
      <c r="J94" s="44">
        <v>359527.5097</v>
      </c>
      <c r="K94" s="45">
        <v>356734.64</v>
      </c>
    </row>
    <row r="95" spans="1:11" ht="33.75" x14ac:dyDescent="0.2">
      <c r="A95" s="40" t="s">
        <v>1546</v>
      </c>
      <c r="B95" s="41" t="s">
        <v>1741</v>
      </c>
      <c r="C95" s="42" t="s">
        <v>142</v>
      </c>
      <c r="D95" s="42" t="s">
        <v>159</v>
      </c>
      <c r="E95" s="42" t="s">
        <v>142</v>
      </c>
      <c r="F95" s="42" t="s">
        <v>159</v>
      </c>
      <c r="G95" s="42" t="s">
        <v>159</v>
      </c>
      <c r="H95" s="43" t="s">
        <v>160</v>
      </c>
      <c r="I95" s="44">
        <v>370357.67</v>
      </c>
      <c r="J95" s="44">
        <v>372295.62599999999</v>
      </c>
      <c r="K95" s="45">
        <v>1481430.68</v>
      </c>
    </row>
    <row r="96" spans="1:11" ht="56.25" x14ac:dyDescent="0.2">
      <c r="A96" s="40" t="s">
        <v>1677</v>
      </c>
      <c r="B96" s="41" t="s">
        <v>1742</v>
      </c>
      <c r="C96" s="42" t="s">
        <v>146</v>
      </c>
      <c r="D96" s="42" t="s">
        <v>146</v>
      </c>
      <c r="E96" s="42" t="s">
        <v>159</v>
      </c>
      <c r="F96" s="42" t="s">
        <v>159</v>
      </c>
      <c r="G96" s="42" t="s">
        <v>159</v>
      </c>
      <c r="H96" s="43" t="s">
        <v>160</v>
      </c>
      <c r="I96" s="44">
        <v>2560787.71</v>
      </c>
      <c r="J96" s="44">
        <v>2560787.71</v>
      </c>
      <c r="K96" s="45">
        <v>12803938.550000001</v>
      </c>
    </row>
    <row r="97" spans="1:11" ht="33.75" x14ac:dyDescent="0.2">
      <c r="A97" s="40" t="s">
        <v>1686</v>
      </c>
      <c r="B97" s="41" t="s">
        <v>1746</v>
      </c>
      <c r="C97" s="42" t="s">
        <v>141</v>
      </c>
      <c r="D97" s="42" t="s">
        <v>159</v>
      </c>
      <c r="E97" s="42" t="s">
        <v>141</v>
      </c>
      <c r="F97" s="42" t="s">
        <v>159</v>
      </c>
      <c r="G97" s="42" t="s">
        <v>159</v>
      </c>
      <c r="H97" s="43" t="s">
        <v>160</v>
      </c>
      <c r="I97" s="44">
        <v>112345.199997</v>
      </c>
      <c r="J97" s="44">
        <v>111013.8</v>
      </c>
      <c r="K97" s="45">
        <v>674071.19998200005</v>
      </c>
    </row>
    <row r="98" spans="1:11" ht="45" x14ac:dyDescent="0.2">
      <c r="A98" s="40" t="s">
        <v>15</v>
      </c>
      <c r="B98" s="41" t="s">
        <v>1149</v>
      </c>
      <c r="C98" s="42" t="s">
        <v>138</v>
      </c>
      <c r="D98" s="42" t="s">
        <v>369</v>
      </c>
      <c r="E98" s="42" t="s">
        <v>1747</v>
      </c>
      <c r="F98" s="42" t="s">
        <v>149</v>
      </c>
      <c r="G98" s="42" t="s">
        <v>159</v>
      </c>
      <c r="H98" s="43" t="s">
        <v>160</v>
      </c>
      <c r="I98" s="44">
        <v>255823.460001</v>
      </c>
      <c r="J98" s="44">
        <v>232323.1666</v>
      </c>
      <c r="K98" s="45">
        <v>511646.920002</v>
      </c>
    </row>
    <row r="99" spans="1:11" ht="45" x14ac:dyDescent="0.2">
      <c r="A99" s="40" t="s">
        <v>10</v>
      </c>
      <c r="B99" s="41" t="s">
        <v>1749</v>
      </c>
      <c r="C99" s="42" t="s">
        <v>1768</v>
      </c>
      <c r="D99" s="42" t="s">
        <v>149</v>
      </c>
      <c r="E99" s="42" t="s">
        <v>1722</v>
      </c>
      <c r="F99" s="42" t="s">
        <v>1750</v>
      </c>
      <c r="G99" s="42" t="s">
        <v>159</v>
      </c>
      <c r="H99" s="43" t="s">
        <v>160</v>
      </c>
      <c r="I99" s="44">
        <v>717257.19912899996</v>
      </c>
      <c r="J99" s="44">
        <v>716779.68039999995</v>
      </c>
      <c r="K99" s="45">
        <v>32993831.159933999</v>
      </c>
    </row>
    <row r="100" spans="1:11" ht="33.75" x14ac:dyDescent="0.2">
      <c r="A100" s="40" t="s">
        <v>367</v>
      </c>
      <c r="B100" s="41" t="s">
        <v>368</v>
      </c>
      <c r="C100" s="42" t="s">
        <v>137</v>
      </c>
      <c r="D100" s="42" t="s">
        <v>159</v>
      </c>
      <c r="E100" s="42" t="s">
        <v>137</v>
      </c>
      <c r="F100" s="42" t="s">
        <v>159</v>
      </c>
      <c r="G100" s="42" t="s">
        <v>159</v>
      </c>
      <c r="H100" s="43" t="s">
        <v>160</v>
      </c>
      <c r="I100" s="44">
        <v>185106.97</v>
      </c>
      <c r="J100" s="44">
        <v>185106.96539999999</v>
      </c>
      <c r="K100" s="45">
        <v>185106.97</v>
      </c>
    </row>
    <row r="101" spans="1:11" ht="22.5" x14ac:dyDescent="0.2">
      <c r="A101" s="40" t="s">
        <v>1342</v>
      </c>
      <c r="B101" s="41" t="s">
        <v>1748</v>
      </c>
      <c r="C101" s="42" t="s">
        <v>138</v>
      </c>
      <c r="D101" s="42" t="s">
        <v>159</v>
      </c>
      <c r="E101" s="42" t="s">
        <v>138</v>
      </c>
      <c r="F101" s="42" t="s">
        <v>159</v>
      </c>
      <c r="G101" s="42" t="s">
        <v>159</v>
      </c>
      <c r="H101" s="43" t="s">
        <v>160</v>
      </c>
      <c r="I101" s="44">
        <v>1223851.3600000001</v>
      </c>
      <c r="J101" s="44">
        <v>1223851.3600000001</v>
      </c>
      <c r="K101" s="45">
        <v>2447702.7200000002</v>
      </c>
    </row>
    <row r="102" spans="1:11" ht="22.5" x14ac:dyDescent="0.2">
      <c r="A102" s="40" t="s">
        <v>1139</v>
      </c>
      <c r="B102" s="41" t="s">
        <v>1140</v>
      </c>
      <c r="C102" s="42" t="s">
        <v>487</v>
      </c>
      <c r="D102" s="42" t="s">
        <v>159</v>
      </c>
      <c r="E102" s="42" t="s">
        <v>487</v>
      </c>
      <c r="F102" s="42" t="s">
        <v>1128</v>
      </c>
      <c r="G102" s="42" t="s">
        <v>159</v>
      </c>
      <c r="H102" s="43" t="s">
        <v>160</v>
      </c>
      <c r="I102" s="44">
        <v>214054.61999899999</v>
      </c>
      <c r="J102" s="44">
        <v>217775.375</v>
      </c>
      <c r="K102" s="45">
        <v>3424873.9199839998</v>
      </c>
    </row>
    <row r="103" spans="1:11" ht="22.5" x14ac:dyDescent="0.2">
      <c r="A103" s="40" t="s">
        <v>1288</v>
      </c>
      <c r="B103" s="41" t="s">
        <v>1289</v>
      </c>
      <c r="C103" s="42" t="s">
        <v>137</v>
      </c>
      <c r="D103" s="42" t="s">
        <v>137</v>
      </c>
      <c r="E103" s="42" t="s">
        <v>159</v>
      </c>
      <c r="F103" s="42" t="s">
        <v>159</v>
      </c>
      <c r="G103" s="42" t="s">
        <v>159</v>
      </c>
      <c r="H103" s="43" t="s">
        <v>160</v>
      </c>
      <c r="I103" s="44">
        <v>455741.99</v>
      </c>
      <c r="J103" s="44">
        <v>455741.99449999997</v>
      </c>
      <c r="K103" s="45">
        <v>455741.99</v>
      </c>
    </row>
    <row r="104" spans="1:11" ht="33.75" x14ac:dyDescent="0.2">
      <c r="A104" s="40" t="s">
        <v>1411</v>
      </c>
      <c r="B104" s="41" t="s">
        <v>1745</v>
      </c>
      <c r="C104" s="42" t="s">
        <v>141</v>
      </c>
      <c r="D104" s="42" t="s">
        <v>159</v>
      </c>
      <c r="E104" s="42" t="s">
        <v>141</v>
      </c>
      <c r="F104" s="42" t="s">
        <v>159</v>
      </c>
      <c r="G104" s="42" t="s">
        <v>159</v>
      </c>
      <c r="H104" s="43" t="s">
        <v>160</v>
      </c>
      <c r="I104" s="44">
        <v>96762.384999999995</v>
      </c>
      <c r="J104" s="44">
        <v>95535.3</v>
      </c>
      <c r="K104" s="45">
        <v>580574.31000000006</v>
      </c>
    </row>
    <row r="105" spans="1:11" ht="45" x14ac:dyDescent="0.2">
      <c r="A105" s="40" t="s">
        <v>167</v>
      </c>
      <c r="B105" s="41" t="s">
        <v>356</v>
      </c>
      <c r="C105" s="42" t="s">
        <v>137</v>
      </c>
      <c r="D105" s="42" t="s">
        <v>159</v>
      </c>
      <c r="E105" s="42" t="s">
        <v>137</v>
      </c>
      <c r="F105" s="42" t="s">
        <v>159</v>
      </c>
      <c r="G105" s="42" t="s">
        <v>159</v>
      </c>
      <c r="H105" s="43" t="s">
        <v>160</v>
      </c>
      <c r="I105" s="44">
        <v>359925.93</v>
      </c>
      <c r="J105" s="44">
        <v>359925.92849999998</v>
      </c>
      <c r="K105" s="45">
        <v>359925.93</v>
      </c>
    </row>
    <row r="106" spans="1:11" ht="22.5" x14ac:dyDescent="0.2">
      <c r="A106" s="40" t="s">
        <v>1150</v>
      </c>
      <c r="B106" s="41" t="s">
        <v>1151</v>
      </c>
      <c r="C106" s="42" t="s">
        <v>138</v>
      </c>
      <c r="D106" s="42" t="s">
        <v>159</v>
      </c>
      <c r="E106" s="42" t="s">
        <v>138</v>
      </c>
      <c r="F106" s="42" t="s">
        <v>159</v>
      </c>
      <c r="G106" s="42" t="s">
        <v>159</v>
      </c>
      <c r="H106" s="43" t="s">
        <v>160</v>
      </c>
      <c r="I106" s="44">
        <v>434672.89499900001</v>
      </c>
      <c r="J106" s="44">
        <v>434672.89529999997</v>
      </c>
      <c r="K106" s="45">
        <v>869345.78999800002</v>
      </c>
    </row>
    <row r="107" spans="1:11" ht="45" x14ac:dyDescent="0.2">
      <c r="A107" s="40" t="s">
        <v>1146</v>
      </c>
      <c r="B107" s="41" t="s">
        <v>1147</v>
      </c>
      <c r="C107" s="42" t="s">
        <v>137</v>
      </c>
      <c r="D107" s="42" t="s">
        <v>159</v>
      </c>
      <c r="E107" s="42" t="s">
        <v>137</v>
      </c>
      <c r="F107" s="42" t="s">
        <v>159</v>
      </c>
      <c r="G107" s="42" t="s">
        <v>159</v>
      </c>
      <c r="H107" s="43" t="s">
        <v>160</v>
      </c>
      <c r="I107" s="44">
        <v>908727.28</v>
      </c>
      <c r="J107" s="44">
        <v>969599.0514</v>
      </c>
      <c r="K107" s="45">
        <v>908727.28</v>
      </c>
    </row>
    <row r="108" spans="1:11" ht="33.75" x14ac:dyDescent="0.2">
      <c r="A108" s="40" t="s">
        <v>69</v>
      </c>
      <c r="B108" s="41" t="s">
        <v>1148</v>
      </c>
      <c r="C108" s="42" t="s">
        <v>140</v>
      </c>
      <c r="D108" s="42" t="s">
        <v>159</v>
      </c>
      <c r="E108" s="42" t="s">
        <v>140</v>
      </c>
      <c r="F108" s="42" t="s">
        <v>159</v>
      </c>
      <c r="G108" s="42" t="s">
        <v>159</v>
      </c>
      <c r="H108" s="43" t="s">
        <v>160</v>
      </c>
      <c r="I108" s="44">
        <v>1015052.093333</v>
      </c>
      <c r="J108" s="44">
        <v>1015052.0923</v>
      </c>
      <c r="K108" s="45">
        <v>3045156.279999</v>
      </c>
    </row>
    <row r="109" spans="1:11" ht="33.75" x14ac:dyDescent="0.2">
      <c r="A109" s="40" t="s">
        <v>1510</v>
      </c>
      <c r="B109" s="41" t="s">
        <v>1751</v>
      </c>
      <c r="C109" s="42" t="s">
        <v>137</v>
      </c>
      <c r="D109" s="42" t="s">
        <v>137</v>
      </c>
      <c r="E109" s="42" t="s">
        <v>159</v>
      </c>
      <c r="F109" s="42" t="s">
        <v>159</v>
      </c>
      <c r="G109" s="42" t="s">
        <v>159</v>
      </c>
      <c r="H109" s="43" t="s">
        <v>160</v>
      </c>
      <c r="I109" s="44">
        <v>193176.17</v>
      </c>
      <c r="J109" s="44">
        <v>193176.16699999999</v>
      </c>
      <c r="K109" s="45">
        <v>193176.17</v>
      </c>
    </row>
    <row r="110" spans="1:11" ht="56.25" x14ac:dyDescent="0.2">
      <c r="A110" s="40" t="s">
        <v>412</v>
      </c>
      <c r="B110" s="41" t="s">
        <v>495</v>
      </c>
      <c r="C110" s="42" t="s">
        <v>146</v>
      </c>
      <c r="D110" s="42" t="s">
        <v>159</v>
      </c>
      <c r="E110" s="42" t="s">
        <v>146</v>
      </c>
      <c r="F110" s="42" t="s">
        <v>159</v>
      </c>
      <c r="G110" s="42" t="s">
        <v>159</v>
      </c>
      <c r="H110" s="43" t="s">
        <v>160</v>
      </c>
      <c r="I110" s="44">
        <v>86887.16</v>
      </c>
      <c r="J110" s="44">
        <v>86887.159700000004</v>
      </c>
      <c r="K110" s="45">
        <v>434435.8</v>
      </c>
    </row>
    <row r="111" spans="1:11" ht="56.25" x14ac:dyDescent="0.2">
      <c r="A111" s="40" t="s">
        <v>411</v>
      </c>
      <c r="B111" s="41" t="s">
        <v>496</v>
      </c>
      <c r="C111" s="42" t="s">
        <v>146</v>
      </c>
      <c r="D111" s="42" t="s">
        <v>159</v>
      </c>
      <c r="E111" s="42" t="s">
        <v>146</v>
      </c>
      <c r="F111" s="42" t="s">
        <v>159</v>
      </c>
      <c r="G111" s="42" t="s">
        <v>159</v>
      </c>
      <c r="H111" s="43" t="s">
        <v>160</v>
      </c>
      <c r="I111" s="44">
        <v>43195.33</v>
      </c>
      <c r="J111" s="44">
        <v>43195.330099999999</v>
      </c>
      <c r="K111" s="45">
        <v>215976.65</v>
      </c>
    </row>
    <row r="112" spans="1:11" ht="56.25" x14ac:dyDescent="0.2">
      <c r="A112" s="40" t="s">
        <v>410</v>
      </c>
      <c r="B112" s="41" t="s">
        <v>492</v>
      </c>
      <c r="C112" s="42" t="s">
        <v>140</v>
      </c>
      <c r="D112" s="42" t="s">
        <v>159</v>
      </c>
      <c r="E112" s="42" t="s">
        <v>140</v>
      </c>
      <c r="F112" s="42" t="s">
        <v>159</v>
      </c>
      <c r="G112" s="42" t="s">
        <v>159</v>
      </c>
      <c r="H112" s="43" t="s">
        <v>160</v>
      </c>
      <c r="I112" s="44">
        <v>198012.45333300001</v>
      </c>
      <c r="J112" s="44">
        <v>198012.45110000001</v>
      </c>
      <c r="K112" s="45">
        <v>594037.35999899998</v>
      </c>
    </row>
    <row r="113" spans="1:11" ht="22.5" x14ac:dyDescent="0.2">
      <c r="A113" s="40" t="s">
        <v>415</v>
      </c>
      <c r="B113" s="41" t="s">
        <v>508</v>
      </c>
      <c r="C113" s="42" t="s">
        <v>146</v>
      </c>
      <c r="D113" s="42" t="s">
        <v>159</v>
      </c>
      <c r="E113" s="42" t="s">
        <v>146</v>
      </c>
      <c r="F113" s="42" t="s">
        <v>159</v>
      </c>
      <c r="G113" s="42" t="s">
        <v>159</v>
      </c>
      <c r="H113" s="43" t="s">
        <v>160</v>
      </c>
      <c r="I113" s="44">
        <v>56645.913999999997</v>
      </c>
      <c r="J113" s="44">
        <v>56645.914799999999</v>
      </c>
      <c r="K113" s="45">
        <v>283229.57</v>
      </c>
    </row>
    <row r="114" spans="1:11" ht="22.5" x14ac:dyDescent="0.2">
      <c r="A114" s="40" t="s">
        <v>414</v>
      </c>
      <c r="B114" s="41" t="s">
        <v>509</v>
      </c>
      <c r="C114" s="42" t="s">
        <v>138</v>
      </c>
      <c r="D114" s="42" t="s">
        <v>159</v>
      </c>
      <c r="E114" s="42" t="s">
        <v>138</v>
      </c>
      <c r="F114" s="42" t="s">
        <v>159</v>
      </c>
      <c r="G114" s="42" t="s">
        <v>159</v>
      </c>
      <c r="H114" s="43" t="s">
        <v>160</v>
      </c>
      <c r="I114" s="44">
        <v>204331.51999999999</v>
      </c>
      <c r="J114" s="44">
        <v>204331.51790000001</v>
      </c>
      <c r="K114" s="45">
        <v>408663.03999999998</v>
      </c>
    </row>
    <row r="115" spans="1:11" ht="22.5" x14ac:dyDescent="0.2">
      <c r="A115" s="40" t="s">
        <v>413</v>
      </c>
      <c r="B115" s="41" t="s">
        <v>494</v>
      </c>
      <c r="C115" s="42" t="s">
        <v>146</v>
      </c>
      <c r="D115" s="42" t="s">
        <v>159</v>
      </c>
      <c r="E115" s="42" t="s">
        <v>146</v>
      </c>
      <c r="F115" s="42" t="s">
        <v>159</v>
      </c>
      <c r="G115" s="42" t="s">
        <v>159</v>
      </c>
      <c r="H115" s="43" t="s">
        <v>160</v>
      </c>
      <c r="I115" s="44">
        <v>34438.910000000003</v>
      </c>
      <c r="J115" s="44">
        <v>34438.910000000003</v>
      </c>
      <c r="K115" s="45">
        <v>172194.55</v>
      </c>
    </row>
    <row r="116" spans="1:11" ht="67.5" x14ac:dyDescent="0.2">
      <c r="A116" s="40" t="s">
        <v>409</v>
      </c>
      <c r="B116" s="41" t="s">
        <v>493</v>
      </c>
      <c r="C116" s="42" t="s">
        <v>146</v>
      </c>
      <c r="D116" s="42" t="s">
        <v>159</v>
      </c>
      <c r="E116" s="42" t="s">
        <v>146</v>
      </c>
      <c r="F116" s="42" t="s">
        <v>159</v>
      </c>
      <c r="G116" s="42" t="s">
        <v>159</v>
      </c>
      <c r="H116" s="43" t="s">
        <v>160</v>
      </c>
      <c r="I116" s="44">
        <v>19182.878000000001</v>
      </c>
      <c r="J116" s="44">
        <v>19182.879000000001</v>
      </c>
      <c r="K116" s="45">
        <v>95914.39</v>
      </c>
    </row>
    <row r="117" spans="1:11" ht="56.25" x14ac:dyDescent="0.2">
      <c r="A117" s="40" t="s">
        <v>405</v>
      </c>
      <c r="B117" s="41" t="s">
        <v>497</v>
      </c>
      <c r="C117" s="42" t="s">
        <v>146</v>
      </c>
      <c r="D117" s="42" t="s">
        <v>159</v>
      </c>
      <c r="E117" s="42" t="s">
        <v>146</v>
      </c>
      <c r="F117" s="42" t="s">
        <v>159</v>
      </c>
      <c r="G117" s="42" t="s">
        <v>159</v>
      </c>
      <c r="H117" s="43" t="s">
        <v>160</v>
      </c>
      <c r="I117" s="44">
        <v>43195.33</v>
      </c>
      <c r="J117" s="44">
        <v>43195.330099999999</v>
      </c>
      <c r="K117" s="45">
        <v>215976.65</v>
      </c>
    </row>
    <row r="118" spans="1:11" ht="56.25" x14ac:dyDescent="0.2">
      <c r="A118" s="40" t="s">
        <v>404</v>
      </c>
      <c r="B118" s="41" t="s">
        <v>498</v>
      </c>
      <c r="C118" s="42" t="s">
        <v>146</v>
      </c>
      <c r="D118" s="42" t="s">
        <v>159</v>
      </c>
      <c r="E118" s="42" t="s">
        <v>146</v>
      </c>
      <c r="F118" s="42" t="s">
        <v>159</v>
      </c>
      <c r="G118" s="42" t="s">
        <v>159</v>
      </c>
      <c r="H118" s="43" t="s">
        <v>160</v>
      </c>
      <c r="I118" s="44">
        <v>78627.237999999998</v>
      </c>
      <c r="J118" s="44">
        <v>78627.237200000003</v>
      </c>
      <c r="K118" s="45">
        <v>393136.19</v>
      </c>
    </row>
    <row r="119" spans="1:11" ht="67.5" x14ac:dyDescent="0.2">
      <c r="A119" s="40" t="s">
        <v>403</v>
      </c>
      <c r="B119" s="41" t="s">
        <v>499</v>
      </c>
      <c r="C119" s="42" t="s">
        <v>146</v>
      </c>
      <c r="D119" s="42" t="s">
        <v>159</v>
      </c>
      <c r="E119" s="42" t="s">
        <v>146</v>
      </c>
      <c r="F119" s="42" t="s">
        <v>159</v>
      </c>
      <c r="G119" s="42" t="s">
        <v>159</v>
      </c>
      <c r="H119" s="43" t="s">
        <v>160</v>
      </c>
      <c r="I119" s="44">
        <v>22568.092000000001</v>
      </c>
      <c r="J119" s="44">
        <v>22568.0929</v>
      </c>
      <c r="K119" s="45">
        <v>112840.46</v>
      </c>
    </row>
    <row r="120" spans="1:11" ht="56.25" x14ac:dyDescent="0.2">
      <c r="A120" s="40" t="s">
        <v>408</v>
      </c>
      <c r="B120" s="41" t="s">
        <v>500</v>
      </c>
      <c r="C120" s="42" t="s">
        <v>146</v>
      </c>
      <c r="D120" s="42" t="s">
        <v>159</v>
      </c>
      <c r="E120" s="42" t="s">
        <v>146</v>
      </c>
      <c r="F120" s="42" t="s">
        <v>159</v>
      </c>
      <c r="G120" s="42" t="s">
        <v>159</v>
      </c>
      <c r="H120" s="43" t="s">
        <v>160</v>
      </c>
      <c r="I120" s="44">
        <v>253845.91399999999</v>
      </c>
      <c r="J120" s="44">
        <v>253845.9148</v>
      </c>
      <c r="K120" s="45">
        <v>1269229.57</v>
      </c>
    </row>
    <row r="121" spans="1:11" ht="56.25" x14ac:dyDescent="0.2">
      <c r="A121" s="40" t="s">
        <v>407</v>
      </c>
      <c r="B121" s="41" t="s">
        <v>501</v>
      </c>
      <c r="C121" s="42" t="s">
        <v>146</v>
      </c>
      <c r="D121" s="42" t="s">
        <v>159</v>
      </c>
      <c r="E121" s="42" t="s">
        <v>146</v>
      </c>
      <c r="F121" s="42" t="s">
        <v>159</v>
      </c>
      <c r="G121" s="42" t="s">
        <v>159</v>
      </c>
      <c r="H121" s="43" t="s">
        <v>160</v>
      </c>
      <c r="I121" s="44">
        <v>139786.76999999999</v>
      </c>
      <c r="J121" s="44">
        <v>139786.77059999999</v>
      </c>
      <c r="K121" s="45">
        <v>698933.85</v>
      </c>
    </row>
    <row r="122" spans="1:11" ht="56.25" x14ac:dyDescent="0.2">
      <c r="A122" s="40" t="s">
        <v>406</v>
      </c>
      <c r="B122" s="41" t="s">
        <v>502</v>
      </c>
      <c r="C122" s="42" t="s">
        <v>146</v>
      </c>
      <c r="D122" s="42" t="s">
        <v>159</v>
      </c>
      <c r="E122" s="42" t="s">
        <v>146</v>
      </c>
      <c r="F122" s="42" t="s">
        <v>159</v>
      </c>
      <c r="G122" s="42" t="s">
        <v>159</v>
      </c>
      <c r="H122" s="43" t="s">
        <v>160</v>
      </c>
      <c r="I122" s="44">
        <v>133467.704</v>
      </c>
      <c r="J122" s="44">
        <v>133467.70379999999</v>
      </c>
      <c r="K122" s="45">
        <v>667338.52</v>
      </c>
    </row>
    <row r="123" spans="1:11" ht="33.75" x14ac:dyDescent="0.2">
      <c r="A123" s="40" t="s">
        <v>471</v>
      </c>
      <c r="B123" s="41" t="s">
        <v>539</v>
      </c>
      <c r="C123" s="42" t="s">
        <v>1752</v>
      </c>
      <c r="D123" s="42" t="s">
        <v>159</v>
      </c>
      <c r="E123" s="42" t="s">
        <v>1752</v>
      </c>
      <c r="F123" s="42" t="s">
        <v>159</v>
      </c>
      <c r="G123" s="42" t="s">
        <v>159</v>
      </c>
      <c r="H123" s="43" t="s">
        <v>160</v>
      </c>
      <c r="I123" s="44">
        <v>57484.538135000003</v>
      </c>
      <c r="J123" s="44">
        <v>56520.436500000003</v>
      </c>
      <c r="K123" s="45">
        <v>3391587.749965</v>
      </c>
    </row>
    <row r="124" spans="1:11" ht="56.25" x14ac:dyDescent="0.2">
      <c r="A124" s="40" t="s">
        <v>1293</v>
      </c>
      <c r="B124" s="41" t="s">
        <v>1294</v>
      </c>
      <c r="C124" s="42" t="s">
        <v>137</v>
      </c>
      <c r="D124" s="42" t="s">
        <v>137</v>
      </c>
      <c r="E124" s="42" t="s">
        <v>159</v>
      </c>
      <c r="F124" s="42" t="s">
        <v>159</v>
      </c>
      <c r="G124" s="42" t="s">
        <v>159</v>
      </c>
      <c r="H124" s="43" t="s">
        <v>160</v>
      </c>
      <c r="I124" s="44">
        <v>27731.11</v>
      </c>
      <c r="J124" s="44">
        <v>27731.11</v>
      </c>
      <c r="K124" s="45">
        <v>27731.11</v>
      </c>
    </row>
    <row r="125" spans="1:11" ht="56.25" x14ac:dyDescent="0.2">
      <c r="A125" s="40" t="s">
        <v>424</v>
      </c>
      <c r="B125" s="41" t="s">
        <v>505</v>
      </c>
      <c r="C125" s="42" t="s">
        <v>487</v>
      </c>
      <c r="D125" s="42" t="s">
        <v>159</v>
      </c>
      <c r="E125" s="42" t="s">
        <v>487</v>
      </c>
      <c r="F125" s="42" t="s">
        <v>159</v>
      </c>
      <c r="G125" s="42" t="s">
        <v>159</v>
      </c>
      <c r="H125" s="43" t="s">
        <v>160</v>
      </c>
      <c r="I125" s="44">
        <v>53694.775625000002</v>
      </c>
      <c r="J125" s="44">
        <v>54219.1155</v>
      </c>
      <c r="K125" s="45">
        <v>859116.41</v>
      </c>
    </row>
    <row r="126" spans="1:11" ht="67.5" x14ac:dyDescent="0.2">
      <c r="A126" s="40" t="s">
        <v>429</v>
      </c>
      <c r="B126" s="41" t="s">
        <v>560</v>
      </c>
      <c r="C126" s="42" t="s">
        <v>487</v>
      </c>
      <c r="D126" s="42" t="s">
        <v>159</v>
      </c>
      <c r="E126" s="42" t="s">
        <v>487</v>
      </c>
      <c r="F126" s="42" t="s">
        <v>159</v>
      </c>
      <c r="G126" s="42" t="s">
        <v>159</v>
      </c>
      <c r="H126" s="43" t="s">
        <v>160</v>
      </c>
      <c r="I126" s="44">
        <v>182596.91625000001</v>
      </c>
      <c r="J126" s="44">
        <v>180135.4675</v>
      </c>
      <c r="K126" s="45">
        <v>2921550.66</v>
      </c>
    </row>
    <row r="127" spans="1:11" ht="78.75" x14ac:dyDescent="0.2">
      <c r="A127" s="40" t="s">
        <v>428</v>
      </c>
      <c r="B127" s="41" t="s">
        <v>561</v>
      </c>
      <c r="C127" s="42" t="s">
        <v>148</v>
      </c>
      <c r="D127" s="42" t="s">
        <v>159</v>
      </c>
      <c r="E127" s="42" t="s">
        <v>148</v>
      </c>
      <c r="F127" s="42" t="s">
        <v>159</v>
      </c>
      <c r="G127" s="42" t="s">
        <v>159</v>
      </c>
      <c r="H127" s="43" t="s">
        <v>160</v>
      </c>
      <c r="I127" s="44">
        <v>142240.219285</v>
      </c>
      <c r="J127" s="44">
        <v>140593.53630000001</v>
      </c>
      <c r="K127" s="45">
        <v>1991363.06999</v>
      </c>
    </row>
    <row r="128" spans="1:11" ht="56.25" x14ac:dyDescent="0.2">
      <c r="A128" s="40" t="s">
        <v>436</v>
      </c>
      <c r="B128" s="41" t="s">
        <v>562</v>
      </c>
      <c r="C128" s="42" t="s">
        <v>1291</v>
      </c>
      <c r="D128" s="42" t="s">
        <v>159</v>
      </c>
      <c r="E128" s="42" t="s">
        <v>1291</v>
      </c>
      <c r="F128" s="42" t="s">
        <v>159</v>
      </c>
      <c r="G128" s="42" t="s">
        <v>159</v>
      </c>
      <c r="H128" s="43" t="s">
        <v>160</v>
      </c>
      <c r="I128" s="44">
        <v>57432.438499999997</v>
      </c>
      <c r="J128" s="44">
        <v>57993.281499999997</v>
      </c>
      <c r="K128" s="45">
        <v>2297297.54</v>
      </c>
    </row>
    <row r="129" spans="1:11" ht="56.25" x14ac:dyDescent="0.2">
      <c r="A129" s="40" t="s">
        <v>427</v>
      </c>
      <c r="B129" s="41" t="s">
        <v>506</v>
      </c>
      <c r="C129" s="42" t="s">
        <v>487</v>
      </c>
      <c r="D129" s="42" t="s">
        <v>159</v>
      </c>
      <c r="E129" s="42" t="s">
        <v>487</v>
      </c>
      <c r="F129" s="42" t="s">
        <v>159</v>
      </c>
      <c r="G129" s="42" t="s">
        <v>159</v>
      </c>
      <c r="H129" s="43" t="s">
        <v>160</v>
      </c>
      <c r="I129" s="44">
        <v>175916.541875</v>
      </c>
      <c r="J129" s="44">
        <v>173545.14629999999</v>
      </c>
      <c r="K129" s="45">
        <v>2814664.67</v>
      </c>
    </row>
    <row r="130" spans="1:11" ht="22.5" x14ac:dyDescent="0.2">
      <c r="A130" s="40" t="s">
        <v>418</v>
      </c>
      <c r="B130" s="41" t="s">
        <v>511</v>
      </c>
      <c r="C130" s="42" t="s">
        <v>146</v>
      </c>
      <c r="D130" s="42" t="s">
        <v>159</v>
      </c>
      <c r="E130" s="42" t="s">
        <v>146</v>
      </c>
      <c r="F130" s="42" t="s">
        <v>159</v>
      </c>
      <c r="G130" s="42" t="s">
        <v>159</v>
      </c>
      <c r="H130" s="43" t="s">
        <v>160</v>
      </c>
      <c r="I130" s="44">
        <v>99976.653999999995</v>
      </c>
      <c r="J130" s="44">
        <v>99976.654399999999</v>
      </c>
      <c r="K130" s="45">
        <v>499883.27</v>
      </c>
    </row>
    <row r="131" spans="1:11" ht="22.5" x14ac:dyDescent="0.2">
      <c r="A131" s="40" t="s">
        <v>417</v>
      </c>
      <c r="B131" s="41" t="s">
        <v>512</v>
      </c>
      <c r="C131" s="42" t="s">
        <v>146</v>
      </c>
      <c r="D131" s="42" t="s">
        <v>159</v>
      </c>
      <c r="E131" s="42" t="s">
        <v>146</v>
      </c>
      <c r="F131" s="42" t="s">
        <v>159</v>
      </c>
      <c r="G131" s="42" t="s">
        <v>159</v>
      </c>
      <c r="H131" s="43" t="s">
        <v>160</v>
      </c>
      <c r="I131" s="44">
        <v>399906.61599999998</v>
      </c>
      <c r="J131" s="44">
        <v>399906.61570000002</v>
      </c>
      <c r="K131" s="45">
        <v>1999533.08</v>
      </c>
    </row>
    <row r="132" spans="1:11" ht="22.5" x14ac:dyDescent="0.2">
      <c r="A132" s="40" t="s">
        <v>416</v>
      </c>
      <c r="B132" s="41" t="s">
        <v>507</v>
      </c>
      <c r="C132" s="42" t="s">
        <v>146</v>
      </c>
      <c r="D132" s="42" t="s">
        <v>159</v>
      </c>
      <c r="E132" s="42" t="s">
        <v>146</v>
      </c>
      <c r="F132" s="42" t="s">
        <v>159</v>
      </c>
      <c r="G132" s="42" t="s">
        <v>159</v>
      </c>
      <c r="H132" s="43" t="s">
        <v>160</v>
      </c>
      <c r="I132" s="44">
        <v>57097.275999999998</v>
      </c>
      <c r="J132" s="44">
        <v>57097.275900000001</v>
      </c>
      <c r="K132" s="45">
        <v>285486.38</v>
      </c>
    </row>
    <row r="133" spans="1:11" ht="33.75" x14ac:dyDescent="0.2">
      <c r="A133" s="40" t="s">
        <v>421</v>
      </c>
      <c r="B133" s="41" t="s">
        <v>503</v>
      </c>
      <c r="C133" s="42" t="s">
        <v>146</v>
      </c>
      <c r="D133" s="42" t="s">
        <v>159</v>
      </c>
      <c r="E133" s="42" t="s">
        <v>146</v>
      </c>
      <c r="F133" s="42" t="s">
        <v>159</v>
      </c>
      <c r="G133" s="42" t="s">
        <v>159</v>
      </c>
      <c r="H133" s="43" t="s">
        <v>160</v>
      </c>
      <c r="I133" s="44">
        <v>418367.31400000001</v>
      </c>
      <c r="J133" s="44">
        <v>418367.31459999998</v>
      </c>
      <c r="K133" s="45">
        <v>2091836.57</v>
      </c>
    </row>
    <row r="134" spans="1:11" ht="33.75" x14ac:dyDescent="0.2">
      <c r="A134" s="40" t="s">
        <v>420</v>
      </c>
      <c r="B134" s="41" t="s">
        <v>504</v>
      </c>
      <c r="C134" s="42" t="s">
        <v>146</v>
      </c>
      <c r="D134" s="42" t="s">
        <v>159</v>
      </c>
      <c r="E134" s="42" t="s">
        <v>146</v>
      </c>
      <c r="F134" s="42" t="s">
        <v>159</v>
      </c>
      <c r="G134" s="42" t="s">
        <v>159</v>
      </c>
      <c r="H134" s="43" t="s">
        <v>160</v>
      </c>
      <c r="I134" s="44">
        <v>73752.528000000006</v>
      </c>
      <c r="J134" s="44">
        <v>73752.5285</v>
      </c>
      <c r="K134" s="45">
        <v>368762.64</v>
      </c>
    </row>
    <row r="135" spans="1:11" ht="22.5" x14ac:dyDescent="0.2">
      <c r="A135" s="40" t="s">
        <v>419</v>
      </c>
      <c r="B135" s="41" t="s">
        <v>510</v>
      </c>
      <c r="C135" s="42" t="s">
        <v>146</v>
      </c>
      <c r="D135" s="42" t="s">
        <v>159</v>
      </c>
      <c r="E135" s="42" t="s">
        <v>146</v>
      </c>
      <c r="F135" s="42" t="s">
        <v>159</v>
      </c>
      <c r="G135" s="42" t="s">
        <v>159</v>
      </c>
      <c r="H135" s="43" t="s">
        <v>160</v>
      </c>
      <c r="I135" s="44">
        <v>106792.216</v>
      </c>
      <c r="J135" s="44">
        <v>106792.21679999999</v>
      </c>
      <c r="K135" s="45">
        <v>533961.07999999996</v>
      </c>
    </row>
    <row r="136" spans="1:11" ht="45" x14ac:dyDescent="0.2">
      <c r="A136" s="40" t="s">
        <v>446</v>
      </c>
      <c r="B136" s="41" t="s">
        <v>520</v>
      </c>
      <c r="C136" s="42" t="s">
        <v>519</v>
      </c>
      <c r="D136" s="42" t="s">
        <v>159</v>
      </c>
      <c r="E136" s="42" t="s">
        <v>519</v>
      </c>
      <c r="F136" s="42" t="s">
        <v>159</v>
      </c>
      <c r="G136" s="42" t="s">
        <v>159</v>
      </c>
      <c r="H136" s="43" t="s">
        <v>160</v>
      </c>
      <c r="I136" s="44">
        <v>22608.324799999999</v>
      </c>
      <c r="J136" s="44">
        <v>22829.101200000001</v>
      </c>
      <c r="K136" s="45">
        <v>1130416.24</v>
      </c>
    </row>
    <row r="137" spans="1:11" ht="33.75" x14ac:dyDescent="0.2">
      <c r="A137" s="40" t="s">
        <v>434</v>
      </c>
      <c r="B137" s="41" t="s">
        <v>514</v>
      </c>
      <c r="C137" s="42" t="s">
        <v>165</v>
      </c>
      <c r="D137" s="42" t="s">
        <v>159</v>
      </c>
      <c r="E137" s="42" t="s">
        <v>165</v>
      </c>
      <c r="F137" s="42" t="s">
        <v>159</v>
      </c>
      <c r="G137" s="42" t="s">
        <v>159</v>
      </c>
      <c r="H137" s="43" t="s">
        <v>160</v>
      </c>
      <c r="I137" s="44">
        <v>51278.963000000003</v>
      </c>
      <c r="J137" s="44">
        <v>51779.715499999998</v>
      </c>
      <c r="K137" s="45">
        <v>1025579.26</v>
      </c>
    </row>
    <row r="138" spans="1:11" ht="22.5" x14ac:dyDescent="0.2">
      <c r="A138" s="40" t="s">
        <v>469</v>
      </c>
      <c r="B138" s="41" t="s">
        <v>515</v>
      </c>
      <c r="C138" s="42" t="s">
        <v>519</v>
      </c>
      <c r="D138" s="42" t="s">
        <v>159</v>
      </c>
      <c r="E138" s="42" t="s">
        <v>519</v>
      </c>
      <c r="F138" s="42" t="s">
        <v>159</v>
      </c>
      <c r="G138" s="42" t="s">
        <v>159</v>
      </c>
      <c r="H138" s="43" t="s">
        <v>160</v>
      </c>
      <c r="I138" s="44">
        <v>32864.117599999998</v>
      </c>
      <c r="J138" s="44">
        <v>33185.044500000004</v>
      </c>
      <c r="K138" s="45">
        <v>1643205.88</v>
      </c>
    </row>
    <row r="139" spans="1:11" ht="45" x14ac:dyDescent="0.2">
      <c r="A139" s="40" t="s">
        <v>451</v>
      </c>
      <c r="B139" s="41" t="s">
        <v>535</v>
      </c>
      <c r="C139" s="42" t="s">
        <v>480</v>
      </c>
      <c r="D139" s="42" t="s">
        <v>159</v>
      </c>
      <c r="E139" s="42" t="s">
        <v>480</v>
      </c>
      <c r="F139" s="42" t="s">
        <v>159</v>
      </c>
      <c r="G139" s="42" t="s">
        <v>159</v>
      </c>
      <c r="H139" s="43" t="s">
        <v>160</v>
      </c>
      <c r="I139" s="44">
        <v>120099.39090899999</v>
      </c>
      <c r="J139" s="44">
        <v>118625.79580000001</v>
      </c>
      <c r="K139" s="45">
        <v>2642186.5999980001</v>
      </c>
    </row>
    <row r="140" spans="1:11" ht="33.75" x14ac:dyDescent="0.2">
      <c r="A140" s="40" t="s">
        <v>450</v>
      </c>
      <c r="B140" s="41" t="s">
        <v>517</v>
      </c>
      <c r="C140" s="42" t="s">
        <v>360</v>
      </c>
      <c r="D140" s="42" t="s">
        <v>159</v>
      </c>
      <c r="E140" s="42" t="s">
        <v>360</v>
      </c>
      <c r="F140" s="42" t="s">
        <v>159</v>
      </c>
      <c r="G140" s="42" t="s">
        <v>159</v>
      </c>
      <c r="H140" s="43" t="s">
        <v>160</v>
      </c>
      <c r="I140" s="44">
        <v>106440.641667</v>
      </c>
      <c r="J140" s="44">
        <v>105005.7968</v>
      </c>
      <c r="K140" s="45">
        <v>2554575.400008</v>
      </c>
    </row>
    <row r="141" spans="1:11" ht="33.75" x14ac:dyDescent="0.2">
      <c r="A141" s="40" t="s">
        <v>473</v>
      </c>
      <c r="B141" s="41" t="s">
        <v>518</v>
      </c>
      <c r="C141" s="42" t="s">
        <v>1290</v>
      </c>
      <c r="D141" s="42" t="s">
        <v>159</v>
      </c>
      <c r="E141" s="42" t="s">
        <v>1290</v>
      </c>
      <c r="F141" s="42" t="s">
        <v>159</v>
      </c>
      <c r="G141" s="42" t="s">
        <v>159</v>
      </c>
      <c r="H141" s="43" t="s">
        <v>160</v>
      </c>
      <c r="I141" s="44">
        <v>21058.560700000002</v>
      </c>
      <c r="J141" s="44">
        <v>21264.2032</v>
      </c>
      <c r="K141" s="45">
        <v>2105856.0699999998</v>
      </c>
    </row>
    <row r="142" spans="1:11" ht="33.75" x14ac:dyDescent="0.2">
      <c r="A142" s="40" t="s">
        <v>454</v>
      </c>
      <c r="B142" s="41" t="s">
        <v>516</v>
      </c>
      <c r="C142" s="42" t="s">
        <v>147</v>
      </c>
      <c r="D142" s="42" t="s">
        <v>159</v>
      </c>
      <c r="E142" s="42" t="s">
        <v>147</v>
      </c>
      <c r="F142" s="42" t="s">
        <v>159</v>
      </c>
      <c r="G142" s="42" t="s">
        <v>159</v>
      </c>
      <c r="H142" s="43" t="s">
        <v>160</v>
      </c>
      <c r="I142" s="44">
        <v>44213.861666999997</v>
      </c>
      <c r="J142" s="44">
        <v>44645.621700000003</v>
      </c>
      <c r="K142" s="45">
        <v>1326415.8500099999</v>
      </c>
    </row>
    <row r="143" spans="1:11" ht="33.75" x14ac:dyDescent="0.2">
      <c r="A143" s="40" t="s">
        <v>460</v>
      </c>
      <c r="B143" s="41" t="s">
        <v>521</v>
      </c>
      <c r="C143" s="42" t="s">
        <v>1291</v>
      </c>
      <c r="D143" s="42" t="s">
        <v>159</v>
      </c>
      <c r="E143" s="42" t="s">
        <v>1291</v>
      </c>
      <c r="F143" s="42" t="s">
        <v>159</v>
      </c>
      <c r="G143" s="42" t="s">
        <v>159</v>
      </c>
      <c r="H143" s="43" t="s">
        <v>160</v>
      </c>
      <c r="I143" s="44">
        <v>21514.374</v>
      </c>
      <c r="J143" s="44">
        <v>21724.4673</v>
      </c>
      <c r="K143" s="45">
        <v>860574.96</v>
      </c>
    </row>
    <row r="144" spans="1:11" ht="33.75" x14ac:dyDescent="0.2">
      <c r="A144" s="40" t="s">
        <v>426</v>
      </c>
      <c r="B144" s="41" t="s">
        <v>522</v>
      </c>
      <c r="C144" s="42" t="s">
        <v>487</v>
      </c>
      <c r="D144" s="42" t="s">
        <v>159</v>
      </c>
      <c r="E144" s="42" t="s">
        <v>487</v>
      </c>
      <c r="F144" s="42" t="s">
        <v>159</v>
      </c>
      <c r="G144" s="42" t="s">
        <v>159</v>
      </c>
      <c r="H144" s="43" t="s">
        <v>160</v>
      </c>
      <c r="I144" s="44">
        <v>48989.416250000002</v>
      </c>
      <c r="J144" s="44">
        <v>48329.027499999997</v>
      </c>
      <c r="K144" s="45">
        <v>783830.66</v>
      </c>
    </row>
    <row r="145" spans="1:11" ht="45" x14ac:dyDescent="0.2">
      <c r="A145" s="40" t="s">
        <v>425</v>
      </c>
      <c r="B145" s="41" t="s">
        <v>523</v>
      </c>
      <c r="C145" s="42" t="s">
        <v>487</v>
      </c>
      <c r="D145" s="42" t="s">
        <v>159</v>
      </c>
      <c r="E145" s="42" t="s">
        <v>487</v>
      </c>
      <c r="F145" s="42" t="s">
        <v>159</v>
      </c>
      <c r="G145" s="42" t="s">
        <v>159</v>
      </c>
      <c r="H145" s="43" t="s">
        <v>160</v>
      </c>
      <c r="I145" s="44">
        <v>124700.333125</v>
      </c>
      <c r="J145" s="44">
        <v>123019.3438</v>
      </c>
      <c r="K145" s="45">
        <v>1995205.33</v>
      </c>
    </row>
    <row r="146" spans="1:11" ht="33.75" x14ac:dyDescent="0.2">
      <c r="A146" s="40" t="s">
        <v>433</v>
      </c>
      <c r="B146" s="41" t="s">
        <v>524</v>
      </c>
      <c r="C146" s="42" t="s">
        <v>165</v>
      </c>
      <c r="D146" s="42" t="s">
        <v>159</v>
      </c>
      <c r="E146" s="42" t="s">
        <v>165</v>
      </c>
      <c r="F146" s="42" t="s">
        <v>159</v>
      </c>
      <c r="G146" s="42" t="s">
        <v>159</v>
      </c>
      <c r="H146" s="43" t="s">
        <v>160</v>
      </c>
      <c r="I146" s="44">
        <v>55609.186500000003</v>
      </c>
      <c r="J146" s="44">
        <v>56152.224999999999</v>
      </c>
      <c r="K146" s="45">
        <v>1112183.73</v>
      </c>
    </row>
    <row r="147" spans="1:11" ht="33.75" x14ac:dyDescent="0.2">
      <c r="A147" s="40" t="s">
        <v>398</v>
      </c>
      <c r="B147" s="41" t="s">
        <v>525</v>
      </c>
      <c r="C147" s="42" t="s">
        <v>519</v>
      </c>
      <c r="D147" s="42" t="s">
        <v>159</v>
      </c>
      <c r="E147" s="42" t="s">
        <v>519</v>
      </c>
      <c r="F147" s="42" t="s">
        <v>159</v>
      </c>
      <c r="G147" s="42" t="s">
        <v>159</v>
      </c>
      <c r="H147" s="43" t="s">
        <v>160</v>
      </c>
      <c r="I147" s="44">
        <v>27485.5242</v>
      </c>
      <c r="J147" s="44">
        <v>27753.927500000002</v>
      </c>
      <c r="K147" s="45">
        <v>1374276.21</v>
      </c>
    </row>
    <row r="148" spans="1:11" ht="22.5" x14ac:dyDescent="0.2">
      <c r="A148" s="40" t="s">
        <v>387</v>
      </c>
      <c r="B148" s="41" t="s">
        <v>526</v>
      </c>
      <c r="C148" s="42" t="s">
        <v>362</v>
      </c>
      <c r="D148" s="42" t="s">
        <v>159</v>
      </c>
      <c r="E148" s="42" t="s">
        <v>362</v>
      </c>
      <c r="F148" s="42" t="s">
        <v>159</v>
      </c>
      <c r="G148" s="42" t="s">
        <v>159</v>
      </c>
      <c r="H148" s="43" t="s">
        <v>160</v>
      </c>
      <c r="I148" s="44">
        <v>98031.664399999994</v>
      </c>
      <c r="J148" s="44">
        <v>96658.055800000002</v>
      </c>
      <c r="K148" s="45">
        <v>2450791.61</v>
      </c>
    </row>
    <row r="149" spans="1:11" ht="33.75" x14ac:dyDescent="0.2">
      <c r="A149" s="40" t="s">
        <v>472</v>
      </c>
      <c r="B149" s="41" t="s">
        <v>531</v>
      </c>
      <c r="C149" s="42" t="s">
        <v>1292</v>
      </c>
      <c r="D149" s="42" t="s">
        <v>159</v>
      </c>
      <c r="E149" s="42" t="s">
        <v>1292</v>
      </c>
      <c r="F149" s="42" t="s">
        <v>159</v>
      </c>
      <c r="G149" s="42" t="s">
        <v>159</v>
      </c>
      <c r="H149" s="43" t="s">
        <v>160</v>
      </c>
      <c r="I149" s="44">
        <v>52418.495332999999</v>
      </c>
      <c r="J149" s="44">
        <v>52930.375999999997</v>
      </c>
      <c r="K149" s="45">
        <v>3145109.7199800001</v>
      </c>
    </row>
    <row r="150" spans="1:11" ht="45" x14ac:dyDescent="0.2">
      <c r="A150" s="40" t="s">
        <v>439</v>
      </c>
      <c r="B150" s="41" t="s">
        <v>532</v>
      </c>
      <c r="C150" s="42" t="s">
        <v>165</v>
      </c>
      <c r="D150" s="42" t="s">
        <v>159</v>
      </c>
      <c r="E150" s="42" t="s">
        <v>165</v>
      </c>
      <c r="F150" s="42" t="s">
        <v>159</v>
      </c>
      <c r="G150" s="42" t="s">
        <v>159</v>
      </c>
      <c r="H150" s="43" t="s">
        <v>160</v>
      </c>
      <c r="I150" s="44">
        <v>26665.061000000002</v>
      </c>
      <c r="J150" s="44">
        <v>26925.452499999999</v>
      </c>
      <c r="K150" s="45">
        <v>533301.22</v>
      </c>
    </row>
    <row r="151" spans="1:11" ht="22.5" x14ac:dyDescent="0.2">
      <c r="A151" s="40" t="s">
        <v>396</v>
      </c>
      <c r="B151" s="41" t="s">
        <v>527</v>
      </c>
      <c r="C151" s="42" t="s">
        <v>1292</v>
      </c>
      <c r="D151" s="42" t="s">
        <v>159</v>
      </c>
      <c r="E151" s="42" t="s">
        <v>1292</v>
      </c>
      <c r="F151" s="42" t="s">
        <v>159</v>
      </c>
      <c r="G151" s="42" t="s">
        <v>159</v>
      </c>
      <c r="H151" s="43" t="s">
        <v>160</v>
      </c>
      <c r="I151" s="44">
        <v>34459.463000000003</v>
      </c>
      <c r="J151" s="44">
        <v>34795.969100000002</v>
      </c>
      <c r="K151" s="45">
        <v>2067567.78</v>
      </c>
    </row>
    <row r="152" spans="1:11" ht="67.5" x14ac:dyDescent="0.2">
      <c r="A152" s="40" t="s">
        <v>1152</v>
      </c>
      <c r="B152" s="41" t="s">
        <v>1153</v>
      </c>
      <c r="C152" s="42" t="s">
        <v>137</v>
      </c>
      <c r="D152" s="42" t="s">
        <v>137</v>
      </c>
      <c r="E152" s="42" t="s">
        <v>159</v>
      </c>
      <c r="F152" s="42" t="s">
        <v>159</v>
      </c>
      <c r="G152" s="42" t="s">
        <v>159</v>
      </c>
      <c r="H152" s="43" t="s">
        <v>160</v>
      </c>
      <c r="I152" s="44">
        <v>26470.59</v>
      </c>
      <c r="J152" s="44">
        <v>26470.584999999999</v>
      </c>
      <c r="K152" s="45">
        <v>26470.59</v>
      </c>
    </row>
    <row r="153" spans="1:11" ht="45" x14ac:dyDescent="0.2">
      <c r="A153" s="40" t="s">
        <v>457</v>
      </c>
      <c r="B153" s="41" t="s">
        <v>513</v>
      </c>
      <c r="C153" s="42" t="s">
        <v>147</v>
      </c>
      <c r="D153" s="42" t="s">
        <v>159</v>
      </c>
      <c r="E153" s="42" t="s">
        <v>147</v>
      </c>
      <c r="F153" s="42" t="s">
        <v>159</v>
      </c>
      <c r="G153" s="42" t="s">
        <v>159</v>
      </c>
      <c r="H153" s="43" t="s">
        <v>160</v>
      </c>
      <c r="I153" s="44">
        <v>46173.857666999997</v>
      </c>
      <c r="J153" s="44">
        <v>46624.757700000002</v>
      </c>
      <c r="K153" s="45">
        <v>1385215.7300100001</v>
      </c>
    </row>
    <row r="154" spans="1:11" ht="45" x14ac:dyDescent="0.2">
      <c r="A154" s="40" t="s">
        <v>452</v>
      </c>
      <c r="B154" s="41" t="s">
        <v>530</v>
      </c>
      <c r="C154" s="42" t="s">
        <v>360</v>
      </c>
      <c r="D154" s="42" t="s">
        <v>159</v>
      </c>
      <c r="E154" s="42" t="s">
        <v>360</v>
      </c>
      <c r="F154" s="42" t="s">
        <v>159</v>
      </c>
      <c r="G154" s="42" t="s">
        <v>159</v>
      </c>
      <c r="H154" s="43" t="s">
        <v>160</v>
      </c>
      <c r="I154" s="44">
        <v>102432.416667</v>
      </c>
      <c r="J154" s="44">
        <v>101051.6042</v>
      </c>
      <c r="K154" s="45">
        <v>2458378.0000080001</v>
      </c>
    </row>
    <row r="155" spans="1:11" ht="33.75" x14ac:dyDescent="0.2">
      <c r="A155" s="40" t="s">
        <v>462</v>
      </c>
      <c r="B155" s="41" t="s">
        <v>528</v>
      </c>
      <c r="C155" s="42" t="s">
        <v>1291</v>
      </c>
      <c r="D155" s="42" t="s">
        <v>159</v>
      </c>
      <c r="E155" s="42" t="s">
        <v>1291</v>
      </c>
      <c r="F155" s="42" t="s">
        <v>159</v>
      </c>
      <c r="G155" s="42" t="s">
        <v>159</v>
      </c>
      <c r="H155" s="43" t="s">
        <v>160</v>
      </c>
      <c r="I155" s="44">
        <v>66092.885750000001</v>
      </c>
      <c r="J155" s="44">
        <v>66738.300499999998</v>
      </c>
      <c r="K155" s="45">
        <v>2643715.4300000002</v>
      </c>
    </row>
    <row r="156" spans="1:11" ht="33.75" x14ac:dyDescent="0.2">
      <c r="A156" s="40" t="s">
        <v>453</v>
      </c>
      <c r="B156" s="41" t="s">
        <v>538</v>
      </c>
      <c r="C156" s="42" t="s">
        <v>147</v>
      </c>
      <c r="D156" s="42" t="s">
        <v>159</v>
      </c>
      <c r="E156" s="42" t="s">
        <v>147</v>
      </c>
      <c r="F156" s="42" t="s">
        <v>159</v>
      </c>
      <c r="G156" s="42" t="s">
        <v>159</v>
      </c>
      <c r="H156" s="43" t="s">
        <v>160</v>
      </c>
      <c r="I156" s="44">
        <v>66092.885666999995</v>
      </c>
      <c r="J156" s="44">
        <v>66738.300300000003</v>
      </c>
      <c r="K156" s="45">
        <v>1982786.5700099999</v>
      </c>
    </row>
    <row r="157" spans="1:11" ht="45" x14ac:dyDescent="0.2">
      <c r="A157" s="40" t="s">
        <v>455</v>
      </c>
      <c r="B157" s="41" t="s">
        <v>533</v>
      </c>
      <c r="C157" s="42" t="s">
        <v>147</v>
      </c>
      <c r="D157" s="42" t="s">
        <v>159</v>
      </c>
      <c r="E157" s="42" t="s">
        <v>147</v>
      </c>
      <c r="F157" s="42" t="s">
        <v>159</v>
      </c>
      <c r="G157" s="42" t="s">
        <v>159</v>
      </c>
      <c r="H157" s="43" t="s">
        <v>160</v>
      </c>
      <c r="I157" s="44">
        <v>53785.934332999997</v>
      </c>
      <c r="J157" s="44">
        <v>54311.168700000002</v>
      </c>
      <c r="K157" s="45">
        <v>1613578.02999</v>
      </c>
    </row>
    <row r="158" spans="1:11" ht="45" x14ac:dyDescent="0.2">
      <c r="A158" s="40" t="s">
        <v>461</v>
      </c>
      <c r="B158" s="41" t="s">
        <v>534</v>
      </c>
      <c r="C158" s="42" t="s">
        <v>1291</v>
      </c>
      <c r="D158" s="42" t="s">
        <v>159</v>
      </c>
      <c r="E158" s="42" t="s">
        <v>1291</v>
      </c>
      <c r="F158" s="42" t="s">
        <v>159</v>
      </c>
      <c r="G158" s="42" t="s">
        <v>159</v>
      </c>
      <c r="H158" s="43" t="s">
        <v>160</v>
      </c>
      <c r="I158" s="44">
        <v>30812.95925</v>
      </c>
      <c r="J158" s="44">
        <v>31113.855899999999</v>
      </c>
      <c r="K158" s="45">
        <v>1232518.3700000001</v>
      </c>
    </row>
    <row r="159" spans="1:11" ht="33.75" x14ac:dyDescent="0.2">
      <c r="A159" s="40" t="s">
        <v>438</v>
      </c>
      <c r="B159" s="41" t="s">
        <v>529</v>
      </c>
      <c r="C159" s="42" t="s">
        <v>165</v>
      </c>
      <c r="D159" s="42" t="s">
        <v>159</v>
      </c>
      <c r="E159" s="42" t="s">
        <v>165</v>
      </c>
      <c r="F159" s="42" t="s">
        <v>159</v>
      </c>
      <c r="G159" s="42" t="s">
        <v>159</v>
      </c>
      <c r="H159" s="43" t="s">
        <v>160</v>
      </c>
      <c r="I159" s="44">
        <v>26665.061000000002</v>
      </c>
      <c r="J159" s="44">
        <v>26925.452499999999</v>
      </c>
      <c r="K159" s="45">
        <v>533301.22</v>
      </c>
    </row>
    <row r="160" spans="1:11" ht="22.5" x14ac:dyDescent="0.2">
      <c r="A160" s="40" t="s">
        <v>465</v>
      </c>
      <c r="B160" s="41" t="s">
        <v>536</v>
      </c>
      <c r="C160" s="42" t="s">
        <v>1291</v>
      </c>
      <c r="D160" s="42" t="s">
        <v>159</v>
      </c>
      <c r="E160" s="42" t="s">
        <v>1291</v>
      </c>
      <c r="F160" s="42" t="s">
        <v>159</v>
      </c>
      <c r="G160" s="42" t="s">
        <v>159</v>
      </c>
      <c r="H160" s="43" t="s">
        <v>160</v>
      </c>
      <c r="I160" s="44">
        <v>32134.816750000002</v>
      </c>
      <c r="J160" s="44">
        <v>32448.621999999999</v>
      </c>
      <c r="K160" s="45">
        <v>1285392.67</v>
      </c>
    </row>
    <row r="161" spans="1:11" ht="33.75" x14ac:dyDescent="0.2">
      <c r="A161" s="40" t="s">
        <v>435</v>
      </c>
      <c r="B161" s="41" t="s">
        <v>537</v>
      </c>
      <c r="C161" s="42" t="s">
        <v>165</v>
      </c>
      <c r="D161" s="42" t="s">
        <v>159</v>
      </c>
      <c r="E161" s="42" t="s">
        <v>165</v>
      </c>
      <c r="F161" s="42" t="s">
        <v>159</v>
      </c>
      <c r="G161" s="42" t="s">
        <v>159</v>
      </c>
      <c r="H161" s="43" t="s">
        <v>160</v>
      </c>
      <c r="I161" s="44">
        <v>67004.512000000002</v>
      </c>
      <c r="J161" s="44">
        <v>67658.828999999998</v>
      </c>
      <c r="K161" s="45">
        <v>1340090.24</v>
      </c>
    </row>
    <row r="162" spans="1:11" ht="33.75" x14ac:dyDescent="0.2">
      <c r="A162" s="40" t="s">
        <v>77</v>
      </c>
      <c r="B162" s="41" t="s">
        <v>103</v>
      </c>
      <c r="C162" s="42" t="s">
        <v>145</v>
      </c>
      <c r="D162" s="42" t="s">
        <v>159</v>
      </c>
      <c r="E162" s="42" t="s">
        <v>145</v>
      </c>
      <c r="F162" s="42" t="s">
        <v>159</v>
      </c>
      <c r="G162" s="42" t="s">
        <v>159</v>
      </c>
      <c r="H162" s="43" t="s">
        <v>160</v>
      </c>
      <c r="I162" s="44">
        <v>107838.114286</v>
      </c>
      <c r="J162" s="44">
        <v>107838.1143</v>
      </c>
      <c r="K162" s="45">
        <v>754866.80000199995</v>
      </c>
    </row>
    <row r="163" spans="1:11" ht="33.75" x14ac:dyDescent="0.2">
      <c r="A163" s="40" t="s">
        <v>88</v>
      </c>
      <c r="B163" s="41" t="s">
        <v>102</v>
      </c>
      <c r="C163" s="42" t="s">
        <v>490</v>
      </c>
      <c r="D163" s="42" t="s">
        <v>137</v>
      </c>
      <c r="E163" s="42" t="s">
        <v>1744</v>
      </c>
      <c r="F163" s="42" t="s">
        <v>159</v>
      </c>
      <c r="G163" s="42" t="s">
        <v>159</v>
      </c>
      <c r="H163" s="43" t="s">
        <v>160</v>
      </c>
      <c r="I163" s="44">
        <v>79609.289445999995</v>
      </c>
      <c r="J163" s="44">
        <v>79609.289600000004</v>
      </c>
      <c r="K163" s="45">
        <v>1432967.2100279999</v>
      </c>
    </row>
    <row r="164" spans="1:11" ht="33.75" x14ac:dyDescent="0.2">
      <c r="A164" s="40" t="s">
        <v>8</v>
      </c>
      <c r="B164" s="41" t="s">
        <v>104</v>
      </c>
      <c r="C164" s="42" t="s">
        <v>137</v>
      </c>
      <c r="D164" s="42" t="s">
        <v>137</v>
      </c>
      <c r="E164" s="42" t="s">
        <v>159</v>
      </c>
      <c r="F164" s="42" t="s">
        <v>159</v>
      </c>
      <c r="G164" s="42" t="s">
        <v>159</v>
      </c>
      <c r="H164" s="43" t="s">
        <v>160</v>
      </c>
      <c r="I164" s="44">
        <v>22000</v>
      </c>
      <c r="J164" s="44">
        <v>27625.683000000001</v>
      </c>
      <c r="K164" s="45">
        <v>22000</v>
      </c>
    </row>
    <row r="165" spans="1:11" ht="45" x14ac:dyDescent="0.2">
      <c r="A165" s="40" t="s">
        <v>9</v>
      </c>
      <c r="B165" s="41" t="s">
        <v>106</v>
      </c>
      <c r="C165" s="42" t="s">
        <v>147</v>
      </c>
      <c r="D165" s="42" t="s">
        <v>159</v>
      </c>
      <c r="E165" s="42" t="s">
        <v>147</v>
      </c>
      <c r="F165" s="42" t="s">
        <v>159</v>
      </c>
      <c r="G165" s="42" t="s">
        <v>159</v>
      </c>
      <c r="H165" s="43" t="s">
        <v>160</v>
      </c>
      <c r="I165" s="44">
        <v>137715.45533299999</v>
      </c>
      <c r="J165" s="44">
        <v>136598.48190000001</v>
      </c>
      <c r="K165" s="45">
        <v>4131463.6599900001</v>
      </c>
    </row>
    <row r="166" spans="1:11" ht="22.5" x14ac:dyDescent="0.2">
      <c r="A166" s="40" t="s">
        <v>1156</v>
      </c>
      <c r="B166" s="41" t="s">
        <v>552</v>
      </c>
      <c r="C166" s="42" t="s">
        <v>369</v>
      </c>
      <c r="D166" s="42" t="s">
        <v>145</v>
      </c>
      <c r="E166" s="42" t="s">
        <v>146</v>
      </c>
      <c r="F166" s="42" t="s">
        <v>159</v>
      </c>
      <c r="G166" s="42" t="s">
        <v>159</v>
      </c>
      <c r="H166" s="43" t="s">
        <v>160</v>
      </c>
      <c r="I166" s="44">
        <v>75000</v>
      </c>
      <c r="J166" s="44">
        <v>75000</v>
      </c>
      <c r="K166" s="45">
        <v>900000</v>
      </c>
    </row>
    <row r="167" spans="1:11" ht="22.5" x14ac:dyDescent="0.2">
      <c r="A167" s="40" t="s">
        <v>70</v>
      </c>
      <c r="B167" s="41" t="s">
        <v>552</v>
      </c>
      <c r="C167" s="42" t="s">
        <v>137</v>
      </c>
      <c r="D167" s="42" t="s">
        <v>138</v>
      </c>
      <c r="E167" s="42" t="s">
        <v>161</v>
      </c>
      <c r="F167" s="42" t="s">
        <v>159</v>
      </c>
      <c r="G167" s="42" t="s">
        <v>159</v>
      </c>
      <c r="H167" s="43" t="s">
        <v>160</v>
      </c>
      <c r="I167" s="44">
        <v>75000</v>
      </c>
      <c r="J167" s="44">
        <v>90922.131099999999</v>
      </c>
      <c r="K167" s="45">
        <v>75000</v>
      </c>
    </row>
    <row r="168" spans="1:11" ht="56.25" x14ac:dyDescent="0.2">
      <c r="A168" s="40" t="s">
        <v>81</v>
      </c>
      <c r="B168" s="41" t="s">
        <v>361</v>
      </c>
      <c r="C168" s="42" t="s">
        <v>140</v>
      </c>
      <c r="D168" s="42" t="s">
        <v>159</v>
      </c>
      <c r="E168" s="42" t="s">
        <v>140</v>
      </c>
      <c r="F168" s="42" t="s">
        <v>159</v>
      </c>
      <c r="G168" s="42" t="s">
        <v>159</v>
      </c>
      <c r="H168" s="43" t="s">
        <v>160</v>
      </c>
      <c r="I168" s="44">
        <v>99838.17</v>
      </c>
      <c r="J168" s="44">
        <v>100479.5184</v>
      </c>
      <c r="K168" s="45">
        <v>299514.51</v>
      </c>
    </row>
    <row r="169" spans="1:11" ht="45" x14ac:dyDescent="0.2">
      <c r="A169" s="40" t="s">
        <v>464</v>
      </c>
      <c r="B169" s="41" t="s">
        <v>540</v>
      </c>
      <c r="C169" s="42" t="s">
        <v>1291</v>
      </c>
      <c r="D169" s="42" t="s">
        <v>159</v>
      </c>
      <c r="E169" s="42" t="s">
        <v>1291</v>
      </c>
      <c r="F169" s="42" t="s">
        <v>159</v>
      </c>
      <c r="G169" s="42" t="s">
        <v>159</v>
      </c>
      <c r="H169" s="43" t="s">
        <v>160</v>
      </c>
      <c r="I169" s="44">
        <v>69283.576749999993</v>
      </c>
      <c r="J169" s="44">
        <v>69960.1495</v>
      </c>
      <c r="K169" s="45">
        <v>2771343.07</v>
      </c>
    </row>
    <row r="170" spans="1:11" ht="67.5" x14ac:dyDescent="0.2">
      <c r="A170" s="40" t="s">
        <v>445</v>
      </c>
      <c r="B170" s="41" t="s">
        <v>541</v>
      </c>
      <c r="C170" s="42" t="s">
        <v>165</v>
      </c>
      <c r="D170" s="42" t="s">
        <v>159</v>
      </c>
      <c r="E170" s="42" t="s">
        <v>165</v>
      </c>
      <c r="F170" s="42" t="s">
        <v>159</v>
      </c>
      <c r="G170" s="42" t="s">
        <v>159</v>
      </c>
      <c r="H170" s="43" t="s">
        <v>160</v>
      </c>
      <c r="I170" s="44">
        <v>63813.820500000002</v>
      </c>
      <c r="J170" s="44">
        <v>64436.98</v>
      </c>
      <c r="K170" s="45">
        <v>1276276.4099999999</v>
      </c>
    </row>
    <row r="171" spans="1:11" ht="78.75" x14ac:dyDescent="0.2">
      <c r="A171" s="40" t="s">
        <v>395</v>
      </c>
      <c r="B171" s="41" t="s">
        <v>545</v>
      </c>
      <c r="C171" s="42" t="s">
        <v>149</v>
      </c>
      <c r="D171" s="42" t="s">
        <v>159</v>
      </c>
      <c r="E171" s="42" t="s">
        <v>149</v>
      </c>
      <c r="F171" s="42" t="s">
        <v>159</v>
      </c>
      <c r="G171" s="42" t="s">
        <v>159</v>
      </c>
      <c r="H171" s="43" t="s">
        <v>160</v>
      </c>
      <c r="I171" s="44">
        <v>31867.670999999998</v>
      </c>
      <c r="J171" s="44">
        <v>22138.704900000001</v>
      </c>
      <c r="K171" s="45">
        <v>318676.71000000002</v>
      </c>
    </row>
    <row r="172" spans="1:11" ht="33.75" x14ac:dyDescent="0.2">
      <c r="A172" s="40" t="s">
        <v>373</v>
      </c>
      <c r="B172" s="41" t="s">
        <v>382</v>
      </c>
      <c r="C172" s="42" t="s">
        <v>146</v>
      </c>
      <c r="D172" s="42" t="s">
        <v>159</v>
      </c>
      <c r="E172" s="42" t="s">
        <v>146</v>
      </c>
      <c r="F172" s="42" t="s">
        <v>159</v>
      </c>
      <c r="G172" s="42" t="s">
        <v>159</v>
      </c>
      <c r="H172" s="43" t="s">
        <v>160</v>
      </c>
      <c r="I172" s="44">
        <v>53123.878004999999</v>
      </c>
      <c r="J172" s="44">
        <v>53123.886700000003</v>
      </c>
      <c r="K172" s="45">
        <v>265619.39002499997</v>
      </c>
    </row>
    <row r="173" spans="1:11" ht="45" x14ac:dyDescent="0.2">
      <c r="A173" s="40" t="s">
        <v>82</v>
      </c>
      <c r="B173" s="41" t="s">
        <v>105</v>
      </c>
      <c r="C173" s="42" t="s">
        <v>148</v>
      </c>
      <c r="D173" s="42" t="s">
        <v>159</v>
      </c>
      <c r="E173" s="42" t="s">
        <v>148</v>
      </c>
      <c r="F173" s="42" t="s">
        <v>159</v>
      </c>
      <c r="G173" s="42" t="s">
        <v>159</v>
      </c>
      <c r="H173" s="43" t="s">
        <v>160</v>
      </c>
      <c r="I173" s="44">
        <v>23103.825000000001</v>
      </c>
      <c r="J173" s="44">
        <v>23103.825199999999</v>
      </c>
      <c r="K173" s="45">
        <v>323453.55</v>
      </c>
    </row>
    <row r="174" spans="1:11" ht="22.5" x14ac:dyDescent="0.2">
      <c r="A174" s="40" t="s">
        <v>1390</v>
      </c>
      <c r="B174" s="41" t="s">
        <v>1753</v>
      </c>
      <c r="C174" s="42" t="s">
        <v>146</v>
      </c>
      <c r="D174" s="42" t="s">
        <v>159</v>
      </c>
      <c r="E174" s="42" t="s">
        <v>146</v>
      </c>
      <c r="F174" s="42" t="s">
        <v>159</v>
      </c>
      <c r="G174" s="42" t="s">
        <v>159</v>
      </c>
      <c r="H174" s="43" t="s">
        <v>160</v>
      </c>
      <c r="I174" s="44">
        <v>110648.442</v>
      </c>
      <c r="J174" s="44">
        <v>110648.4428</v>
      </c>
      <c r="K174" s="45">
        <v>553242.21</v>
      </c>
    </row>
    <row r="175" spans="1:11" ht="45" x14ac:dyDescent="0.2">
      <c r="A175" s="40" t="s">
        <v>40</v>
      </c>
      <c r="B175" s="41" t="s">
        <v>113</v>
      </c>
      <c r="C175" s="42" t="s">
        <v>137</v>
      </c>
      <c r="D175" s="42" t="s">
        <v>159</v>
      </c>
      <c r="E175" s="42" t="s">
        <v>137</v>
      </c>
      <c r="F175" s="42" t="s">
        <v>159</v>
      </c>
      <c r="G175" s="42" t="s">
        <v>159</v>
      </c>
      <c r="H175" s="43" t="s">
        <v>160</v>
      </c>
      <c r="I175" s="44">
        <v>50045.67</v>
      </c>
      <c r="J175" s="44">
        <v>50045.672700000003</v>
      </c>
      <c r="K175" s="45">
        <v>50045.67</v>
      </c>
    </row>
    <row r="176" spans="1:11" ht="45" x14ac:dyDescent="0.2">
      <c r="A176" s="40" t="s">
        <v>79</v>
      </c>
      <c r="B176" s="41" t="s">
        <v>112</v>
      </c>
      <c r="C176" s="42" t="s">
        <v>1754</v>
      </c>
      <c r="D176" s="42" t="s">
        <v>146</v>
      </c>
      <c r="E176" s="42" t="s">
        <v>1755</v>
      </c>
      <c r="F176" s="42" t="s">
        <v>159</v>
      </c>
      <c r="G176" s="42" t="s">
        <v>159</v>
      </c>
      <c r="H176" s="43" t="s">
        <v>160</v>
      </c>
      <c r="I176" s="44">
        <v>121295.498529</v>
      </c>
      <c r="J176" s="44">
        <v>118237.2212</v>
      </c>
      <c r="K176" s="45">
        <v>4124046.9499860001</v>
      </c>
    </row>
    <row r="177" spans="1:11" ht="45" x14ac:dyDescent="0.2">
      <c r="A177" s="40" t="s">
        <v>12</v>
      </c>
      <c r="B177" s="41" t="s">
        <v>481</v>
      </c>
      <c r="C177" s="42" t="s">
        <v>357</v>
      </c>
      <c r="D177" s="42" t="s">
        <v>138</v>
      </c>
      <c r="E177" s="42" t="s">
        <v>145</v>
      </c>
      <c r="F177" s="42" t="s">
        <v>159</v>
      </c>
      <c r="G177" s="42" t="s">
        <v>159</v>
      </c>
      <c r="H177" s="43" t="s">
        <v>160</v>
      </c>
      <c r="I177" s="44">
        <v>32294.734446999999</v>
      </c>
      <c r="J177" s="44">
        <v>32294.737099999998</v>
      </c>
      <c r="K177" s="45">
        <v>290652.61002299999</v>
      </c>
    </row>
    <row r="178" spans="1:11" ht="56.25" x14ac:dyDescent="0.2">
      <c r="A178" s="40" t="s">
        <v>37</v>
      </c>
      <c r="B178" s="41" t="s">
        <v>114</v>
      </c>
      <c r="C178" s="42" t="s">
        <v>140</v>
      </c>
      <c r="D178" s="42" t="s">
        <v>159</v>
      </c>
      <c r="E178" s="42" t="s">
        <v>140</v>
      </c>
      <c r="F178" s="42" t="s">
        <v>159</v>
      </c>
      <c r="G178" s="42" t="s">
        <v>159</v>
      </c>
      <c r="H178" s="43" t="s">
        <v>160</v>
      </c>
      <c r="I178" s="44">
        <v>102976.253333</v>
      </c>
      <c r="J178" s="44">
        <v>102727.56020000001</v>
      </c>
      <c r="K178" s="45">
        <v>308928.759999</v>
      </c>
    </row>
    <row r="179" spans="1:11" ht="56.25" x14ac:dyDescent="0.2">
      <c r="A179" s="40" t="s">
        <v>38</v>
      </c>
      <c r="B179" s="41" t="s">
        <v>115</v>
      </c>
      <c r="C179" s="42" t="s">
        <v>138</v>
      </c>
      <c r="D179" s="42" t="s">
        <v>159</v>
      </c>
      <c r="E179" s="42" t="s">
        <v>138</v>
      </c>
      <c r="F179" s="42" t="s">
        <v>159</v>
      </c>
      <c r="G179" s="42" t="s">
        <v>159</v>
      </c>
      <c r="H179" s="43" t="s">
        <v>160</v>
      </c>
      <c r="I179" s="44">
        <v>100064.83</v>
      </c>
      <c r="J179" s="44">
        <v>100261.4157</v>
      </c>
      <c r="K179" s="45">
        <v>200129.66</v>
      </c>
    </row>
    <row r="180" spans="1:11" ht="45" x14ac:dyDescent="0.2">
      <c r="A180" s="40" t="s">
        <v>36</v>
      </c>
      <c r="B180" s="41" t="s">
        <v>116</v>
      </c>
      <c r="C180" s="42" t="s">
        <v>140</v>
      </c>
      <c r="D180" s="42" t="s">
        <v>159</v>
      </c>
      <c r="E180" s="42" t="s">
        <v>140</v>
      </c>
      <c r="F180" s="42" t="s">
        <v>159</v>
      </c>
      <c r="G180" s="42" t="s">
        <v>159</v>
      </c>
      <c r="H180" s="43" t="s">
        <v>160</v>
      </c>
      <c r="I180" s="44">
        <v>101697.576667</v>
      </c>
      <c r="J180" s="44">
        <v>101451.9679</v>
      </c>
      <c r="K180" s="45">
        <v>305092.73000099999</v>
      </c>
    </row>
    <row r="181" spans="1:11" ht="45" x14ac:dyDescent="0.2">
      <c r="A181" s="40" t="s">
        <v>13</v>
      </c>
      <c r="B181" s="41" t="s">
        <v>482</v>
      </c>
      <c r="C181" s="42" t="s">
        <v>357</v>
      </c>
      <c r="D181" s="42" t="s">
        <v>138</v>
      </c>
      <c r="E181" s="42" t="s">
        <v>145</v>
      </c>
      <c r="F181" s="42" t="s">
        <v>159</v>
      </c>
      <c r="G181" s="42" t="s">
        <v>159</v>
      </c>
      <c r="H181" s="43" t="s">
        <v>160</v>
      </c>
      <c r="I181" s="44">
        <v>32294.733336000001</v>
      </c>
      <c r="J181" s="44">
        <v>32294.736700000001</v>
      </c>
      <c r="K181" s="45">
        <v>290652.60002399998</v>
      </c>
    </row>
    <row r="182" spans="1:11" ht="22.5" x14ac:dyDescent="0.2">
      <c r="A182" s="40" t="s">
        <v>458</v>
      </c>
      <c r="B182" s="41" t="s">
        <v>548</v>
      </c>
      <c r="C182" s="42" t="s">
        <v>1752</v>
      </c>
      <c r="D182" s="42" t="s">
        <v>140</v>
      </c>
      <c r="E182" s="42" t="s">
        <v>1727</v>
      </c>
      <c r="F182" s="42" t="s">
        <v>159</v>
      </c>
      <c r="G182" s="42" t="s">
        <v>159</v>
      </c>
      <c r="H182" s="43" t="s">
        <v>160</v>
      </c>
      <c r="I182" s="44">
        <v>60146.558473999998</v>
      </c>
      <c r="J182" s="44">
        <v>60146.558700000001</v>
      </c>
      <c r="K182" s="45">
        <v>3548646.9499659999</v>
      </c>
    </row>
    <row r="183" spans="1:11" ht="33.75" x14ac:dyDescent="0.2">
      <c r="A183" s="40" t="s">
        <v>1760</v>
      </c>
      <c r="B183" s="41" t="s">
        <v>1769</v>
      </c>
      <c r="C183" s="42" t="s">
        <v>140</v>
      </c>
      <c r="D183" s="42" t="s">
        <v>140</v>
      </c>
      <c r="E183" s="42" t="s">
        <v>159</v>
      </c>
      <c r="F183" s="42" t="s">
        <v>159</v>
      </c>
      <c r="G183" s="42" t="s">
        <v>159</v>
      </c>
      <c r="H183" s="43" t="s">
        <v>160</v>
      </c>
      <c r="I183" s="44">
        <v>33000</v>
      </c>
      <c r="J183" s="44">
        <v>33000</v>
      </c>
      <c r="K183" s="45">
        <v>99000</v>
      </c>
    </row>
    <row r="184" spans="1:11" ht="45" x14ac:dyDescent="0.2">
      <c r="A184" s="40" t="s">
        <v>1154</v>
      </c>
      <c r="B184" s="41" t="s">
        <v>1155</v>
      </c>
      <c r="C184" s="42" t="s">
        <v>145</v>
      </c>
      <c r="D184" s="42" t="s">
        <v>159</v>
      </c>
      <c r="E184" s="42" t="s">
        <v>145</v>
      </c>
      <c r="F184" s="42" t="s">
        <v>159</v>
      </c>
      <c r="G184" s="42" t="s">
        <v>159</v>
      </c>
      <c r="H184" s="43" t="s">
        <v>160</v>
      </c>
      <c r="I184" s="44">
        <v>25427.168651</v>
      </c>
      <c r="J184" s="44">
        <v>25427.1679</v>
      </c>
      <c r="K184" s="45">
        <v>177990.18055700001</v>
      </c>
    </row>
    <row r="185" spans="1:11" ht="33.75" x14ac:dyDescent="0.2">
      <c r="A185" s="40" t="s">
        <v>31</v>
      </c>
      <c r="B185" s="41" t="s">
        <v>587</v>
      </c>
      <c r="C185" s="42" t="s">
        <v>137</v>
      </c>
      <c r="D185" s="42" t="s">
        <v>159</v>
      </c>
      <c r="E185" s="42" t="s">
        <v>137</v>
      </c>
      <c r="F185" s="42" t="s">
        <v>159</v>
      </c>
      <c r="G185" s="42" t="s">
        <v>159</v>
      </c>
      <c r="H185" s="43" t="s">
        <v>160</v>
      </c>
      <c r="I185" s="44">
        <v>118013.79</v>
      </c>
      <c r="J185" s="44">
        <v>118013.7907</v>
      </c>
      <c r="K185" s="45">
        <v>118013.79</v>
      </c>
    </row>
    <row r="186" spans="1:11" ht="33.75" x14ac:dyDescent="0.2">
      <c r="A186" s="40" t="s">
        <v>11</v>
      </c>
      <c r="B186" s="41" t="s">
        <v>549</v>
      </c>
      <c r="C186" s="42" t="s">
        <v>357</v>
      </c>
      <c r="D186" s="42" t="s">
        <v>138</v>
      </c>
      <c r="E186" s="42" t="s">
        <v>145</v>
      </c>
      <c r="F186" s="42" t="s">
        <v>159</v>
      </c>
      <c r="G186" s="42" t="s">
        <v>159</v>
      </c>
      <c r="H186" s="43" t="s">
        <v>160</v>
      </c>
      <c r="I186" s="44">
        <v>32294.733336000001</v>
      </c>
      <c r="J186" s="44">
        <v>32294.736700000001</v>
      </c>
      <c r="K186" s="45">
        <v>290652.60002399998</v>
      </c>
    </row>
    <row r="187" spans="1:11" ht="33.75" x14ac:dyDescent="0.2">
      <c r="A187" s="40" t="s">
        <v>468</v>
      </c>
      <c r="B187" s="41" t="s">
        <v>550</v>
      </c>
      <c r="C187" s="42" t="s">
        <v>140</v>
      </c>
      <c r="D187" s="42" t="s">
        <v>146</v>
      </c>
      <c r="E187" s="42" t="s">
        <v>1713</v>
      </c>
      <c r="F187" s="42" t="s">
        <v>159</v>
      </c>
      <c r="G187" s="42" t="s">
        <v>159</v>
      </c>
      <c r="H187" s="43" t="s">
        <v>160</v>
      </c>
      <c r="I187" s="44">
        <v>36355.450009</v>
      </c>
      <c r="J187" s="44">
        <v>36355.465600000003</v>
      </c>
      <c r="K187" s="45">
        <v>109066.35002699999</v>
      </c>
    </row>
    <row r="188" spans="1:11" ht="45" x14ac:dyDescent="0.2">
      <c r="A188" s="40" t="s">
        <v>467</v>
      </c>
      <c r="B188" s="41" t="s">
        <v>573</v>
      </c>
      <c r="C188" s="42" t="s">
        <v>1157</v>
      </c>
      <c r="D188" s="42" t="s">
        <v>159</v>
      </c>
      <c r="E188" s="42" t="s">
        <v>1157</v>
      </c>
      <c r="F188" s="42" t="s">
        <v>159</v>
      </c>
      <c r="G188" s="42" t="s">
        <v>159</v>
      </c>
      <c r="H188" s="43" t="s">
        <v>160</v>
      </c>
      <c r="I188" s="44">
        <v>97871.743514000002</v>
      </c>
      <c r="J188" s="44">
        <v>96658.055999999997</v>
      </c>
      <c r="K188" s="45">
        <v>3621254.5100179999</v>
      </c>
    </row>
    <row r="189" spans="1:11" ht="45" x14ac:dyDescent="0.2">
      <c r="A189" s="40" t="s">
        <v>394</v>
      </c>
      <c r="B189" s="41" t="s">
        <v>557</v>
      </c>
      <c r="C189" s="42" t="s">
        <v>139</v>
      </c>
      <c r="D189" s="42" t="s">
        <v>159</v>
      </c>
      <c r="E189" s="42" t="s">
        <v>139</v>
      </c>
      <c r="F189" s="42" t="s">
        <v>159</v>
      </c>
      <c r="G189" s="42" t="s">
        <v>159</v>
      </c>
      <c r="H189" s="43" t="s">
        <v>160</v>
      </c>
      <c r="I189" s="44">
        <v>73477.056249999994</v>
      </c>
      <c r="J189" s="44">
        <v>74194.579299999998</v>
      </c>
      <c r="K189" s="45">
        <v>587816.44999999995</v>
      </c>
    </row>
    <row r="190" spans="1:11" ht="56.25" x14ac:dyDescent="0.2">
      <c r="A190" s="40" t="s">
        <v>397</v>
      </c>
      <c r="B190" s="41" t="s">
        <v>558</v>
      </c>
      <c r="C190" s="42" t="s">
        <v>149</v>
      </c>
      <c r="D190" s="42" t="s">
        <v>159</v>
      </c>
      <c r="E190" s="42" t="s">
        <v>149</v>
      </c>
      <c r="F190" s="42" t="s">
        <v>159</v>
      </c>
      <c r="G190" s="42" t="s">
        <v>159</v>
      </c>
      <c r="H190" s="43" t="s">
        <v>160</v>
      </c>
      <c r="I190" s="44">
        <v>42436.19</v>
      </c>
      <c r="J190" s="44">
        <v>42850.591899999999</v>
      </c>
      <c r="K190" s="45">
        <v>424361.9</v>
      </c>
    </row>
    <row r="191" spans="1:11" ht="45" x14ac:dyDescent="0.2">
      <c r="A191" s="40" t="s">
        <v>392</v>
      </c>
      <c r="B191" s="41" t="s">
        <v>576</v>
      </c>
      <c r="C191" s="42" t="s">
        <v>141</v>
      </c>
      <c r="D191" s="42" t="s">
        <v>159</v>
      </c>
      <c r="E191" s="42" t="s">
        <v>141</v>
      </c>
      <c r="F191" s="42" t="s">
        <v>159</v>
      </c>
      <c r="G191" s="42" t="s">
        <v>159</v>
      </c>
      <c r="H191" s="43" t="s">
        <v>160</v>
      </c>
      <c r="I191" s="44">
        <v>18232.521667000001</v>
      </c>
      <c r="J191" s="44">
        <v>18410.566699999999</v>
      </c>
      <c r="K191" s="45">
        <v>109395.13000200001</v>
      </c>
    </row>
    <row r="192" spans="1:11" ht="45" x14ac:dyDescent="0.2">
      <c r="A192" s="40" t="s">
        <v>400</v>
      </c>
      <c r="B192" s="41" t="s">
        <v>571</v>
      </c>
      <c r="C192" s="42" t="s">
        <v>149</v>
      </c>
      <c r="D192" s="42" t="s">
        <v>159</v>
      </c>
      <c r="E192" s="42" t="s">
        <v>149</v>
      </c>
      <c r="F192" s="42" t="s">
        <v>159</v>
      </c>
      <c r="G192" s="42" t="s">
        <v>159</v>
      </c>
      <c r="H192" s="43" t="s">
        <v>160</v>
      </c>
      <c r="I192" s="44">
        <v>17184.150000000001</v>
      </c>
      <c r="J192" s="44">
        <v>17351.957299999998</v>
      </c>
      <c r="K192" s="45">
        <v>171841.5</v>
      </c>
    </row>
    <row r="193" spans="1:11" ht="45" x14ac:dyDescent="0.2">
      <c r="A193" s="40" t="s">
        <v>448</v>
      </c>
      <c r="B193" s="41" t="s">
        <v>572</v>
      </c>
      <c r="C193" s="42" t="s">
        <v>551</v>
      </c>
      <c r="D193" s="42" t="s">
        <v>159</v>
      </c>
      <c r="E193" s="42" t="s">
        <v>551</v>
      </c>
      <c r="F193" s="42" t="s">
        <v>159</v>
      </c>
      <c r="G193" s="42" t="s">
        <v>159</v>
      </c>
      <c r="H193" s="43" t="s">
        <v>160</v>
      </c>
      <c r="I193" s="44">
        <v>109035.377368</v>
      </c>
      <c r="J193" s="44">
        <v>107641.92600000001</v>
      </c>
      <c r="K193" s="45">
        <v>2071672.1699920001</v>
      </c>
    </row>
    <row r="194" spans="1:11" ht="33.75" x14ac:dyDescent="0.2">
      <c r="A194" s="40" t="s">
        <v>399</v>
      </c>
      <c r="B194" s="41" t="s">
        <v>559</v>
      </c>
      <c r="C194" s="42" t="s">
        <v>149</v>
      </c>
      <c r="D194" s="42" t="s">
        <v>159</v>
      </c>
      <c r="E194" s="42" t="s">
        <v>149</v>
      </c>
      <c r="F194" s="42" t="s">
        <v>159</v>
      </c>
      <c r="G194" s="42" t="s">
        <v>159</v>
      </c>
      <c r="H194" s="43" t="s">
        <v>160</v>
      </c>
      <c r="I194" s="44">
        <v>51643.614000000001</v>
      </c>
      <c r="J194" s="44">
        <v>52147.9277</v>
      </c>
      <c r="K194" s="45">
        <v>516436.14</v>
      </c>
    </row>
    <row r="195" spans="1:11" ht="78.75" x14ac:dyDescent="0.2">
      <c r="A195" s="40" t="s">
        <v>447</v>
      </c>
      <c r="B195" s="41" t="s">
        <v>563</v>
      </c>
      <c r="C195" s="42" t="s">
        <v>165</v>
      </c>
      <c r="D195" s="42" t="s">
        <v>159</v>
      </c>
      <c r="E195" s="42" t="s">
        <v>165</v>
      </c>
      <c r="F195" s="42" t="s">
        <v>159</v>
      </c>
      <c r="G195" s="42" t="s">
        <v>159</v>
      </c>
      <c r="H195" s="43" t="s">
        <v>160</v>
      </c>
      <c r="I195" s="44">
        <v>80223.088499999998</v>
      </c>
      <c r="J195" s="44">
        <v>81006.489000000001</v>
      </c>
      <c r="K195" s="45">
        <v>1604461.77</v>
      </c>
    </row>
    <row r="196" spans="1:11" ht="45" x14ac:dyDescent="0.2">
      <c r="A196" s="40" t="s">
        <v>437</v>
      </c>
      <c r="B196" s="41" t="s">
        <v>564</v>
      </c>
      <c r="C196" s="42" t="s">
        <v>165</v>
      </c>
      <c r="D196" s="42" t="s">
        <v>159</v>
      </c>
      <c r="E196" s="42" t="s">
        <v>165</v>
      </c>
      <c r="F196" s="42" t="s">
        <v>159</v>
      </c>
      <c r="G196" s="42" t="s">
        <v>159</v>
      </c>
      <c r="H196" s="43" t="s">
        <v>160</v>
      </c>
      <c r="I196" s="44">
        <v>69283.576499999996</v>
      </c>
      <c r="J196" s="44">
        <v>69960.149000000005</v>
      </c>
      <c r="K196" s="45">
        <v>1385671.53</v>
      </c>
    </row>
    <row r="197" spans="1:11" ht="56.25" x14ac:dyDescent="0.2">
      <c r="A197" s="40" t="s">
        <v>463</v>
      </c>
      <c r="B197" s="41" t="s">
        <v>565</v>
      </c>
      <c r="C197" s="42" t="s">
        <v>1291</v>
      </c>
      <c r="D197" s="42" t="s">
        <v>159</v>
      </c>
      <c r="E197" s="42" t="s">
        <v>1291</v>
      </c>
      <c r="F197" s="42" t="s">
        <v>159</v>
      </c>
      <c r="G197" s="42" t="s">
        <v>159</v>
      </c>
      <c r="H197" s="43" t="s">
        <v>160</v>
      </c>
      <c r="I197" s="44">
        <v>70535.94975</v>
      </c>
      <c r="J197" s="44">
        <v>70880.678</v>
      </c>
      <c r="K197" s="45">
        <v>2821437.99</v>
      </c>
    </row>
    <row r="198" spans="1:11" ht="45" x14ac:dyDescent="0.2">
      <c r="A198" s="40" t="s">
        <v>430</v>
      </c>
      <c r="B198" s="41" t="s">
        <v>554</v>
      </c>
      <c r="C198" s="42" t="s">
        <v>487</v>
      </c>
      <c r="D198" s="42" t="s">
        <v>159</v>
      </c>
      <c r="E198" s="42" t="s">
        <v>487</v>
      </c>
      <c r="F198" s="42" t="s">
        <v>159</v>
      </c>
      <c r="G198" s="42" t="s">
        <v>159</v>
      </c>
      <c r="H198" s="43" t="s">
        <v>160</v>
      </c>
      <c r="I198" s="44">
        <v>191504.083125</v>
      </c>
      <c r="J198" s="44">
        <v>188922.5638</v>
      </c>
      <c r="K198" s="45">
        <v>3064065.33</v>
      </c>
    </row>
    <row r="199" spans="1:11" ht="45" x14ac:dyDescent="0.2">
      <c r="A199" s="40" t="s">
        <v>440</v>
      </c>
      <c r="B199" s="41" t="s">
        <v>555</v>
      </c>
      <c r="C199" s="42" t="s">
        <v>165</v>
      </c>
      <c r="D199" s="42" t="s">
        <v>159</v>
      </c>
      <c r="E199" s="42" t="s">
        <v>165</v>
      </c>
      <c r="F199" s="42" t="s">
        <v>159</v>
      </c>
      <c r="G199" s="42" t="s">
        <v>159</v>
      </c>
      <c r="H199" s="43" t="s">
        <v>160</v>
      </c>
      <c r="I199" s="44">
        <v>26665.061000000002</v>
      </c>
      <c r="J199" s="44">
        <v>26925.452499999999</v>
      </c>
      <c r="K199" s="45">
        <v>533301.22</v>
      </c>
    </row>
    <row r="200" spans="1:11" ht="45" x14ac:dyDescent="0.2">
      <c r="A200" s="40" t="s">
        <v>422</v>
      </c>
      <c r="B200" s="41" t="s">
        <v>556</v>
      </c>
      <c r="C200" s="42" t="s">
        <v>476</v>
      </c>
      <c r="D200" s="42" t="s">
        <v>159</v>
      </c>
      <c r="E200" s="42" t="s">
        <v>476</v>
      </c>
      <c r="F200" s="42" t="s">
        <v>159</v>
      </c>
      <c r="G200" s="42" t="s">
        <v>159</v>
      </c>
      <c r="H200" s="43" t="s">
        <v>160</v>
      </c>
      <c r="I200" s="44">
        <v>71169.952726999996</v>
      </c>
      <c r="J200" s="44">
        <v>71801.205700000006</v>
      </c>
      <c r="K200" s="45">
        <v>782869.47999699996</v>
      </c>
    </row>
    <row r="201" spans="1:11" ht="45" x14ac:dyDescent="0.2">
      <c r="A201" s="40" t="s">
        <v>442</v>
      </c>
      <c r="B201" s="41" t="s">
        <v>543</v>
      </c>
      <c r="C201" s="42" t="s">
        <v>147</v>
      </c>
      <c r="D201" s="42" t="s">
        <v>159</v>
      </c>
      <c r="E201" s="42" t="s">
        <v>147</v>
      </c>
      <c r="F201" s="42" t="s">
        <v>159</v>
      </c>
      <c r="G201" s="42" t="s">
        <v>159</v>
      </c>
      <c r="H201" s="43" t="s">
        <v>160</v>
      </c>
      <c r="I201" s="44">
        <v>30227.312999999998</v>
      </c>
      <c r="J201" s="44">
        <v>30423.459900000002</v>
      </c>
      <c r="K201" s="45">
        <v>906819.39</v>
      </c>
    </row>
    <row r="202" spans="1:11" ht="33.75" x14ac:dyDescent="0.2">
      <c r="A202" s="40" t="s">
        <v>441</v>
      </c>
      <c r="B202" s="41" t="s">
        <v>544</v>
      </c>
      <c r="C202" s="42" t="s">
        <v>165</v>
      </c>
      <c r="D202" s="42" t="s">
        <v>159</v>
      </c>
      <c r="E202" s="42" t="s">
        <v>165</v>
      </c>
      <c r="F202" s="42" t="s">
        <v>159</v>
      </c>
      <c r="G202" s="42" t="s">
        <v>159</v>
      </c>
      <c r="H202" s="43" t="s">
        <v>160</v>
      </c>
      <c r="I202" s="44">
        <v>27531.106</v>
      </c>
      <c r="J202" s="44">
        <v>27799.954600000001</v>
      </c>
      <c r="K202" s="45">
        <v>550622.12</v>
      </c>
    </row>
    <row r="203" spans="1:11" ht="33.75" x14ac:dyDescent="0.2">
      <c r="A203" s="40" t="s">
        <v>402</v>
      </c>
      <c r="B203" s="41" t="s">
        <v>553</v>
      </c>
      <c r="C203" s="42" t="s">
        <v>149</v>
      </c>
      <c r="D203" s="42" t="s">
        <v>159</v>
      </c>
      <c r="E203" s="42" t="s">
        <v>149</v>
      </c>
      <c r="F203" s="42" t="s">
        <v>159</v>
      </c>
      <c r="G203" s="42" t="s">
        <v>159</v>
      </c>
      <c r="H203" s="43" t="s">
        <v>160</v>
      </c>
      <c r="I203" s="44">
        <v>75984.028000000006</v>
      </c>
      <c r="J203" s="44">
        <v>76726.032300000006</v>
      </c>
      <c r="K203" s="45">
        <v>759840.28</v>
      </c>
    </row>
    <row r="204" spans="1:11" ht="45" x14ac:dyDescent="0.2">
      <c r="A204" s="40" t="s">
        <v>444</v>
      </c>
      <c r="B204" s="41" t="s">
        <v>546</v>
      </c>
      <c r="C204" s="42" t="s">
        <v>165</v>
      </c>
      <c r="D204" s="42" t="s">
        <v>159</v>
      </c>
      <c r="E204" s="42" t="s">
        <v>165</v>
      </c>
      <c r="F204" s="42" t="s">
        <v>159</v>
      </c>
      <c r="G204" s="42" t="s">
        <v>159</v>
      </c>
      <c r="H204" s="43" t="s">
        <v>160</v>
      </c>
      <c r="I204" s="44">
        <v>27075.292000000001</v>
      </c>
      <c r="J204" s="44">
        <v>27339.689600000002</v>
      </c>
      <c r="K204" s="45">
        <v>541505.84</v>
      </c>
    </row>
    <row r="205" spans="1:11" ht="67.5" x14ac:dyDescent="0.2">
      <c r="A205" s="40" t="s">
        <v>423</v>
      </c>
      <c r="B205" s="41" t="s">
        <v>547</v>
      </c>
      <c r="C205" s="42" t="s">
        <v>164</v>
      </c>
      <c r="D205" s="42" t="s">
        <v>159</v>
      </c>
      <c r="E205" s="42" t="s">
        <v>164</v>
      </c>
      <c r="F205" s="42" t="s">
        <v>159</v>
      </c>
      <c r="G205" s="42" t="s">
        <v>159</v>
      </c>
      <c r="H205" s="43" t="s">
        <v>160</v>
      </c>
      <c r="I205" s="44">
        <v>40676.616521999997</v>
      </c>
      <c r="J205" s="44">
        <v>40917.4784</v>
      </c>
      <c r="K205" s="45">
        <v>935562.18000599998</v>
      </c>
    </row>
    <row r="206" spans="1:11" ht="67.5" x14ac:dyDescent="0.2">
      <c r="A206" s="40" t="s">
        <v>443</v>
      </c>
      <c r="B206" s="41" t="s">
        <v>542</v>
      </c>
      <c r="C206" s="42" t="s">
        <v>165</v>
      </c>
      <c r="D206" s="42" t="s">
        <v>159</v>
      </c>
      <c r="E206" s="42" t="s">
        <v>165</v>
      </c>
      <c r="F206" s="42" t="s">
        <v>159</v>
      </c>
      <c r="G206" s="42" t="s">
        <v>159</v>
      </c>
      <c r="H206" s="43" t="s">
        <v>160</v>
      </c>
      <c r="I206" s="44">
        <v>61534.755499999999</v>
      </c>
      <c r="J206" s="44">
        <v>62135.659</v>
      </c>
      <c r="K206" s="45">
        <v>1230695.1100000001</v>
      </c>
    </row>
    <row r="207" spans="1:11" ht="33.75" x14ac:dyDescent="0.2">
      <c r="A207" s="40" t="s">
        <v>466</v>
      </c>
      <c r="B207" s="41" t="s">
        <v>569</v>
      </c>
      <c r="C207" s="42" t="s">
        <v>1291</v>
      </c>
      <c r="D207" s="42" t="s">
        <v>159</v>
      </c>
      <c r="E207" s="42" t="s">
        <v>1291</v>
      </c>
      <c r="F207" s="42" t="s">
        <v>159</v>
      </c>
      <c r="G207" s="42" t="s">
        <v>159</v>
      </c>
      <c r="H207" s="43" t="s">
        <v>160</v>
      </c>
      <c r="I207" s="44">
        <v>41934.796499999997</v>
      </c>
      <c r="J207" s="44">
        <v>42344.300999999999</v>
      </c>
      <c r="K207" s="45">
        <v>1677391.86</v>
      </c>
    </row>
    <row r="208" spans="1:11" ht="56.25" x14ac:dyDescent="0.2">
      <c r="A208" s="40" t="s">
        <v>431</v>
      </c>
      <c r="B208" s="41" t="s">
        <v>568</v>
      </c>
      <c r="C208" s="42" t="s">
        <v>487</v>
      </c>
      <c r="D208" s="42" t="s">
        <v>159</v>
      </c>
      <c r="E208" s="42" t="s">
        <v>487</v>
      </c>
      <c r="F208" s="42" t="s">
        <v>159</v>
      </c>
      <c r="G208" s="42" t="s">
        <v>159</v>
      </c>
      <c r="H208" s="43" t="s">
        <v>160</v>
      </c>
      <c r="I208" s="44">
        <v>126927.124375</v>
      </c>
      <c r="J208" s="44">
        <v>125216.11749999999</v>
      </c>
      <c r="K208" s="45">
        <v>2030833.99</v>
      </c>
    </row>
    <row r="209" spans="1:11" ht="33.75" x14ac:dyDescent="0.2">
      <c r="A209" s="40" t="s">
        <v>449</v>
      </c>
      <c r="B209" s="41" t="s">
        <v>574</v>
      </c>
      <c r="C209" s="42" t="s">
        <v>165</v>
      </c>
      <c r="D209" s="42" t="s">
        <v>159</v>
      </c>
      <c r="E209" s="42" t="s">
        <v>165</v>
      </c>
      <c r="F209" s="42" t="s">
        <v>159</v>
      </c>
      <c r="G209" s="42" t="s">
        <v>159</v>
      </c>
      <c r="H209" s="43" t="s">
        <v>160</v>
      </c>
      <c r="I209" s="44">
        <v>102432.41650000001</v>
      </c>
      <c r="J209" s="44">
        <v>101051.60400000001</v>
      </c>
      <c r="K209" s="45">
        <v>2048648.33</v>
      </c>
    </row>
    <row r="210" spans="1:11" ht="45" x14ac:dyDescent="0.2">
      <c r="A210" s="40" t="s">
        <v>401</v>
      </c>
      <c r="B210" s="41" t="s">
        <v>575</v>
      </c>
      <c r="C210" s="42" t="s">
        <v>149</v>
      </c>
      <c r="D210" s="42" t="s">
        <v>159</v>
      </c>
      <c r="E210" s="42" t="s">
        <v>149</v>
      </c>
      <c r="F210" s="42" t="s">
        <v>159</v>
      </c>
      <c r="G210" s="42" t="s">
        <v>159</v>
      </c>
      <c r="H210" s="43" t="s">
        <v>160</v>
      </c>
      <c r="I210" s="44">
        <v>17184.150000000001</v>
      </c>
      <c r="J210" s="44">
        <v>17351.957299999998</v>
      </c>
      <c r="K210" s="45">
        <v>171841.5</v>
      </c>
    </row>
    <row r="211" spans="1:11" ht="56.25" x14ac:dyDescent="0.2">
      <c r="A211" s="40" t="s">
        <v>432</v>
      </c>
      <c r="B211" s="41" t="s">
        <v>570</v>
      </c>
      <c r="C211" s="42" t="s">
        <v>148</v>
      </c>
      <c r="D211" s="42" t="s">
        <v>159</v>
      </c>
      <c r="E211" s="42" t="s">
        <v>148</v>
      </c>
      <c r="F211" s="42" t="s">
        <v>159</v>
      </c>
      <c r="G211" s="42" t="s">
        <v>159</v>
      </c>
      <c r="H211" s="43" t="s">
        <v>160</v>
      </c>
      <c r="I211" s="44">
        <v>146685.227143</v>
      </c>
      <c r="J211" s="44">
        <v>144987.0863</v>
      </c>
      <c r="K211" s="45">
        <v>2053593.180002</v>
      </c>
    </row>
    <row r="212" spans="1:11" ht="33.75" x14ac:dyDescent="0.2">
      <c r="A212" s="40" t="s">
        <v>456</v>
      </c>
      <c r="B212" s="41" t="s">
        <v>566</v>
      </c>
      <c r="C212" s="42" t="s">
        <v>147</v>
      </c>
      <c r="D212" s="42" t="s">
        <v>159</v>
      </c>
      <c r="E212" s="42" t="s">
        <v>147</v>
      </c>
      <c r="F212" s="42" t="s">
        <v>159</v>
      </c>
      <c r="G212" s="42" t="s">
        <v>159</v>
      </c>
      <c r="H212" s="43" t="s">
        <v>160</v>
      </c>
      <c r="I212" s="44">
        <v>17275.313332999998</v>
      </c>
      <c r="J212" s="44">
        <v>17444.0111</v>
      </c>
      <c r="K212" s="45">
        <v>518259.39999000001</v>
      </c>
    </row>
    <row r="213" spans="1:11" ht="33.75" x14ac:dyDescent="0.2">
      <c r="A213" s="46" t="s">
        <v>470</v>
      </c>
      <c r="B213" s="47" t="s">
        <v>567</v>
      </c>
      <c r="C213" s="48" t="s">
        <v>1295</v>
      </c>
      <c r="D213" s="48" t="s">
        <v>159</v>
      </c>
      <c r="E213" s="48" t="s">
        <v>1295</v>
      </c>
      <c r="F213" s="48" t="s">
        <v>159</v>
      </c>
      <c r="G213" s="48" t="s">
        <v>159</v>
      </c>
      <c r="H213" s="49" t="s">
        <v>160</v>
      </c>
      <c r="I213" s="50">
        <v>37354.354254999998</v>
      </c>
      <c r="J213" s="50">
        <v>37695.633099999999</v>
      </c>
      <c r="K213" s="51">
        <v>1755654.649985</v>
      </c>
    </row>
  </sheetData>
  <mergeCells count="4">
    <mergeCell ref="A2:K2"/>
    <mergeCell ref="A3:K3"/>
    <mergeCell ref="A4:K4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DED4-4C7A-40E8-BC71-6CE1E78782C0}">
  <dimension ref="A1:R42"/>
  <sheetViews>
    <sheetView topLeftCell="A7" workbookViewId="0">
      <selection activeCell="D16" sqref="D16:M17"/>
    </sheetView>
  </sheetViews>
  <sheetFormatPr baseColWidth="10" defaultRowHeight="12.75" x14ac:dyDescent="0.2"/>
  <sheetData>
    <row r="1" spans="1:18" x14ac:dyDescent="0.2">
      <c r="A1" s="8" t="s">
        <v>168</v>
      </c>
      <c r="B1" s="8" t="s">
        <v>169</v>
      </c>
      <c r="C1" s="8" t="s">
        <v>170</v>
      </c>
      <c r="D1" s="8" t="s">
        <v>171</v>
      </c>
      <c r="E1" s="8" t="s">
        <v>172</v>
      </c>
      <c r="F1" s="8" t="s">
        <v>155</v>
      </c>
      <c r="G1" s="8" t="s">
        <v>173</v>
      </c>
      <c r="H1" s="8" t="s">
        <v>174</v>
      </c>
      <c r="I1" s="8" t="s">
        <v>175</v>
      </c>
      <c r="J1" s="8" t="s">
        <v>176</v>
      </c>
      <c r="K1" s="8" t="s">
        <v>177</v>
      </c>
      <c r="L1" s="8" t="s">
        <v>178</v>
      </c>
      <c r="M1" s="8" t="s">
        <v>96</v>
      </c>
      <c r="N1" s="8" t="s">
        <v>179</v>
      </c>
      <c r="O1" s="8" t="s">
        <v>180</v>
      </c>
      <c r="P1" s="8"/>
      <c r="Q1" s="8"/>
      <c r="R1" s="8"/>
    </row>
    <row r="2" spans="1:18" x14ac:dyDescent="0.2">
      <c r="A2" s="8">
        <v>12528</v>
      </c>
      <c r="B2" s="8" t="s">
        <v>181</v>
      </c>
      <c r="C2" s="9" t="s">
        <v>182</v>
      </c>
      <c r="D2" s="9" t="s">
        <v>183</v>
      </c>
      <c r="E2" s="9" t="s">
        <v>183</v>
      </c>
      <c r="F2" s="8" t="s">
        <v>160</v>
      </c>
      <c r="G2" s="8" t="s">
        <v>184</v>
      </c>
      <c r="H2" s="8" t="s">
        <v>185</v>
      </c>
      <c r="I2" s="8" t="s">
        <v>186</v>
      </c>
      <c r="J2" s="8" t="s">
        <v>187</v>
      </c>
      <c r="K2" s="8" t="s">
        <v>188</v>
      </c>
      <c r="L2" s="8" t="s">
        <v>189</v>
      </c>
      <c r="M2" s="8" t="s">
        <v>190</v>
      </c>
      <c r="N2" s="8" t="s">
        <v>191</v>
      </c>
      <c r="O2" s="8" t="s">
        <v>192</v>
      </c>
      <c r="P2" s="8"/>
      <c r="Q2" s="8"/>
      <c r="R2" s="8"/>
    </row>
    <row r="3" spans="1:18" x14ac:dyDescent="0.2">
      <c r="A3" s="8">
        <v>12524</v>
      </c>
      <c r="B3" s="8" t="s">
        <v>181</v>
      </c>
      <c r="C3" s="9" t="s">
        <v>193</v>
      </c>
      <c r="D3" s="9" t="s">
        <v>194</v>
      </c>
      <c r="E3" s="9" t="s">
        <v>194</v>
      </c>
      <c r="F3" s="8" t="s">
        <v>160</v>
      </c>
      <c r="G3" s="8" t="s">
        <v>195</v>
      </c>
      <c r="H3" s="8" t="s">
        <v>196</v>
      </c>
      <c r="I3" s="8" t="s">
        <v>197</v>
      </c>
      <c r="J3" s="8" t="s">
        <v>198</v>
      </c>
      <c r="K3" s="8" t="s">
        <v>199</v>
      </c>
      <c r="L3" s="8" t="s">
        <v>200</v>
      </c>
      <c r="M3" s="8" t="s">
        <v>201</v>
      </c>
      <c r="N3" s="8" t="s">
        <v>191</v>
      </c>
      <c r="O3" s="8" t="s">
        <v>192</v>
      </c>
      <c r="P3" s="8"/>
      <c r="Q3" s="8"/>
      <c r="R3" s="8"/>
    </row>
    <row r="4" spans="1:18" x14ac:dyDescent="0.2">
      <c r="A4" s="8">
        <v>12512</v>
      </c>
      <c r="B4" s="8" t="s">
        <v>202</v>
      </c>
      <c r="C4" s="9" t="s">
        <v>203</v>
      </c>
      <c r="D4" s="9" t="s">
        <v>204</v>
      </c>
      <c r="E4" s="9" t="s">
        <v>204</v>
      </c>
      <c r="F4" s="8" t="s">
        <v>160</v>
      </c>
      <c r="G4" s="8" t="s">
        <v>205</v>
      </c>
      <c r="H4" s="8" t="s">
        <v>206</v>
      </c>
      <c r="I4" s="8" t="s">
        <v>207</v>
      </c>
      <c r="J4" s="8" t="s">
        <v>208</v>
      </c>
      <c r="K4" s="8" t="s">
        <v>209</v>
      </c>
      <c r="L4" s="8" t="s">
        <v>210</v>
      </c>
      <c r="M4" s="8" t="s">
        <v>211</v>
      </c>
      <c r="N4" s="8" t="s">
        <v>191</v>
      </c>
      <c r="O4" s="8" t="s">
        <v>192</v>
      </c>
      <c r="P4" s="8"/>
      <c r="Q4" s="8"/>
      <c r="R4" s="8"/>
    </row>
    <row r="5" spans="1:18" x14ac:dyDescent="0.2">
      <c r="A5" s="8">
        <v>12441</v>
      </c>
      <c r="B5" s="10" t="s">
        <v>212</v>
      </c>
      <c r="C5" s="10" t="s">
        <v>213</v>
      </c>
      <c r="D5" s="10" t="s">
        <v>214</v>
      </c>
      <c r="E5" s="10" t="s">
        <v>214</v>
      </c>
      <c r="F5" s="10" t="s">
        <v>160</v>
      </c>
      <c r="G5" s="8" t="s">
        <v>215</v>
      </c>
      <c r="H5" s="8" t="s">
        <v>216</v>
      </c>
      <c r="I5" s="8" t="s">
        <v>207</v>
      </c>
      <c r="J5" s="8" t="s">
        <v>217</v>
      </c>
      <c r="K5" s="8" t="s">
        <v>218</v>
      </c>
      <c r="L5" s="8" t="s">
        <v>219</v>
      </c>
      <c r="M5" s="8" t="s">
        <v>220</v>
      </c>
      <c r="N5" s="8" t="s">
        <v>221</v>
      </c>
      <c r="O5" s="8" t="s">
        <v>222</v>
      </c>
      <c r="P5" s="8"/>
      <c r="Q5" s="8"/>
      <c r="R5" s="8"/>
    </row>
    <row r="6" spans="1:18" x14ac:dyDescent="0.2">
      <c r="A6" s="8">
        <v>12366</v>
      </c>
      <c r="B6" s="8" t="s">
        <v>212</v>
      </c>
      <c r="C6" s="9" t="s">
        <v>223</v>
      </c>
      <c r="D6" s="9" t="s">
        <v>224</v>
      </c>
      <c r="E6" s="9" t="s">
        <v>224</v>
      </c>
      <c r="F6" s="8" t="s">
        <v>160</v>
      </c>
      <c r="G6" s="8" t="s">
        <v>225</v>
      </c>
      <c r="H6" s="8" t="s">
        <v>226</v>
      </c>
      <c r="I6" s="8" t="s">
        <v>207</v>
      </c>
      <c r="J6" s="8" t="s">
        <v>227</v>
      </c>
      <c r="K6" s="8" t="s">
        <v>228</v>
      </c>
      <c r="L6" s="8" t="s">
        <v>229</v>
      </c>
      <c r="M6" s="8" t="s">
        <v>230</v>
      </c>
      <c r="N6" s="8" t="s">
        <v>191</v>
      </c>
      <c r="O6" s="8" t="s">
        <v>192</v>
      </c>
      <c r="P6" s="8"/>
      <c r="Q6" s="8"/>
      <c r="R6" s="8"/>
    </row>
    <row r="7" spans="1:18" x14ac:dyDescent="0.2">
      <c r="A7" s="8">
        <v>12351</v>
      </c>
      <c r="B7" s="11">
        <v>45843</v>
      </c>
      <c r="C7" s="9" t="s">
        <v>231</v>
      </c>
      <c r="D7" s="9" t="s">
        <v>183</v>
      </c>
      <c r="E7" s="9" t="s">
        <v>183</v>
      </c>
      <c r="F7" s="8" t="s">
        <v>160</v>
      </c>
      <c r="G7" s="8" t="s">
        <v>232</v>
      </c>
      <c r="H7" s="8" t="s">
        <v>233</v>
      </c>
      <c r="I7" s="8" t="s">
        <v>197</v>
      </c>
      <c r="J7" s="8" t="s">
        <v>234</v>
      </c>
      <c r="K7" s="8" t="s">
        <v>235</v>
      </c>
      <c r="L7" s="8" t="s">
        <v>236</v>
      </c>
      <c r="M7" s="8" t="s">
        <v>237</v>
      </c>
      <c r="N7" s="8" t="s">
        <v>191</v>
      </c>
      <c r="O7" s="8" t="s">
        <v>192</v>
      </c>
      <c r="P7" s="8"/>
      <c r="Q7" s="8"/>
      <c r="R7" s="8"/>
    </row>
    <row r="8" spans="1:18" x14ac:dyDescent="0.2">
      <c r="A8" s="8">
        <v>12281</v>
      </c>
      <c r="B8" s="8" t="s">
        <v>238</v>
      </c>
      <c r="C8" s="8" t="s">
        <v>239</v>
      </c>
      <c r="D8" s="8" t="s">
        <v>240</v>
      </c>
      <c r="E8" s="8" t="s">
        <v>240</v>
      </c>
      <c r="F8" s="8" t="s">
        <v>160</v>
      </c>
      <c r="G8" s="8" t="s">
        <v>241</v>
      </c>
      <c r="H8" s="8" t="s">
        <v>242</v>
      </c>
      <c r="I8" s="8" t="s">
        <v>243</v>
      </c>
      <c r="J8" s="8" t="s">
        <v>244</v>
      </c>
      <c r="K8" s="8" t="s">
        <v>245</v>
      </c>
      <c r="L8" s="8" t="s">
        <v>246</v>
      </c>
      <c r="M8" s="8" t="s">
        <v>220</v>
      </c>
      <c r="N8" s="8" t="s">
        <v>191</v>
      </c>
      <c r="O8" s="8" t="s">
        <v>192</v>
      </c>
      <c r="P8" s="8"/>
      <c r="Q8" s="8"/>
      <c r="R8" s="8"/>
    </row>
    <row r="9" spans="1:18" x14ac:dyDescent="0.2">
      <c r="A9" s="8">
        <v>12280</v>
      </c>
      <c r="B9" s="8" t="s">
        <v>238</v>
      </c>
      <c r="C9" s="8" t="s">
        <v>247</v>
      </c>
      <c r="D9" s="8" t="s">
        <v>248</v>
      </c>
      <c r="E9" s="8" t="s">
        <v>248</v>
      </c>
      <c r="F9" s="8" t="s">
        <v>160</v>
      </c>
      <c r="G9" s="8" t="s">
        <v>215</v>
      </c>
      <c r="H9" s="8" t="s">
        <v>216</v>
      </c>
      <c r="I9" s="8" t="s">
        <v>243</v>
      </c>
      <c r="J9" s="8" t="s">
        <v>249</v>
      </c>
      <c r="K9" s="8" t="s">
        <v>250</v>
      </c>
      <c r="L9" s="8" t="s">
        <v>251</v>
      </c>
      <c r="M9" s="8" t="s">
        <v>252</v>
      </c>
      <c r="N9" s="8" t="s">
        <v>253</v>
      </c>
      <c r="O9" s="8" t="s">
        <v>254</v>
      </c>
      <c r="P9" s="8"/>
      <c r="Q9" s="8"/>
      <c r="R9" s="8"/>
    </row>
    <row r="10" spans="1:18" x14ac:dyDescent="0.2">
      <c r="A10" s="8">
        <v>12279</v>
      </c>
      <c r="B10" s="9" t="s">
        <v>238</v>
      </c>
      <c r="C10" s="9" t="s">
        <v>255</v>
      </c>
      <c r="D10" s="9" t="s">
        <v>183</v>
      </c>
      <c r="E10" s="9" t="s">
        <v>183</v>
      </c>
      <c r="F10" s="8" t="s">
        <v>160</v>
      </c>
      <c r="G10" s="8" t="s">
        <v>256</v>
      </c>
      <c r="H10" s="8" t="s">
        <v>257</v>
      </c>
      <c r="I10" s="8" t="s">
        <v>197</v>
      </c>
      <c r="J10" s="8" t="s">
        <v>234</v>
      </c>
      <c r="K10" s="8" t="s">
        <v>245</v>
      </c>
      <c r="L10" s="8" t="s">
        <v>246</v>
      </c>
      <c r="M10" s="8" t="s">
        <v>220</v>
      </c>
      <c r="N10" s="8" t="s">
        <v>191</v>
      </c>
      <c r="O10" s="8" t="s">
        <v>192</v>
      </c>
      <c r="P10" s="8"/>
      <c r="Q10" s="8"/>
      <c r="R10" s="8"/>
    </row>
    <row r="11" spans="1:18" x14ac:dyDescent="0.2">
      <c r="A11" s="8">
        <v>12233</v>
      </c>
      <c r="B11" s="10" t="s">
        <v>258</v>
      </c>
      <c r="C11" s="10" t="s">
        <v>259</v>
      </c>
      <c r="D11" s="10" t="s">
        <v>260</v>
      </c>
      <c r="E11" s="10" t="s">
        <v>260</v>
      </c>
      <c r="F11" s="8" t="s">
        <v>160</v>
      </c>
      <c r="G11" s="8" t="s">
        <v>215</v>
      </c>
      <c r="H11" s="8" t="s">
        <v>216</v>
      </c>
      <c r="I11" s="8" t="s">
        <v>207</v>
      </c>
      <c r="J11" s="8" t="s">
        <v>261</v>
      </c>
      <c r="K11" s="8" t="s">
        <v>262</v>
      </c>
      <c r="L11" s="8" t="s">
        <v>263</v>
      </c>
      <c r="M11" s="8" t="s">
        <v>264</v>
      </c>
      <c r="N11" s="8" t="s">
        <v>221</v>
      </c>
      <c r="O11" s="8" t="s">
        <v>222</v>
      </c>
      <c r="P11" s="8"/>
      <c r="Q11" s="8"/>
      <c r="R11" s="8"/>
    </row>
    <row r="12" spans="1:18" x14ac:dyDescent="0.2">
      <c r="A12" s="8">
        <v>12217</v>
      </c>
      <c r="B12" s="9" t="s">
        <v>258</v>
      </c>
      <c r="C12" s="9" t="s">
        <v>265</v>
      </c>
      <c r="D12" s="9" t="s">
        <v>266</v>
      </c>
      <c r="E12" s="9" t="s">
        <v>266</v>
      </c>
      <c r="F12" s="8" t="s">
        <v>160</v>
      </c>
      <c r="G12" s="8" t="s">
        <v>267</v>
      </c>
      <c r="H12" s="8" t="s">
        <v>268</v>
      </c>
      <c r="I12" s="8" t="s">
        <v>269</v>
      </c>
      <c r="J12" s="8" t="s">
        <v>270</v>
      </c>
      <c r="K12" s="8" t="s">
        <v>271</v>
      </c>
      <c r="L12" s="8" t="s">
        <v>272</v>
      </c>
      <c r="M12" s="8" t="s">
        <v>273</v>
      </c>
      <c r="N12" s="8" t="s">
        <v>191</v>
      </c>
      <c r="O12" s="8" t="s">
        <v>192</v>
      </c>
      <c r="P12" s="8"/>
      <c r="Q12" s="8"/>
      <c r="R12" s="8"/>
    </row>
    <row r="13" spans="1:18" x14ac:dyDescent="0.2">
      <c r="A13" s="8">
        <v>12181</v>
      </c>
      <c r="B13" s="10" t="s">
        <v>274</v>
      </c>
      <c r="C13" s="10" t="s">
        <v>275</v>
      </c>
      <c r="D13" s="10" t="s">
        <v>276</v>
      </c>
      <c r="E13" s="10" t="s">
        <v>276</v>
      </c>
      <c r="F13" s="8" t="s">
        <v>160</v>
      </c>
      <c r="G13" s="8" t="s">
        <v>215</v>
      </c>
      <c r="H13" s="8" t="s">
        <v>216</v>
      </c>
      <c r="I13" s="8" t="s">
        <v>186</v>
      </c>
      <c r="J13" s="8" t="s">
        <v>277</v>
      </c>
      <c r="K13" s="8" t="s">
        <v>278</v>
      </c>
      <c r="L13" s="8" t="s">
        <v>279</v>
      </c>
      <c r="M13" s="8" t="s">
        <v>264</v>
      </c>
      <c r="N13" s="8" t="s">
        <v>221</v>
      </c>
      <c r="O13" s="8" t="s">
        <v>222</v>
      </c>
      <c r="P13" s="8"/>
      <c r="Q13" s="8"/>
      <c r="R13" s="8"/>
    </row>
    <row r="14" spans="1:18" x14ac:dyDescent="0.2">
      <c r="A14" s="8">
        <v>12120</v>
      </c>
      <c r="B14" s="9" t="s">
        <v>280</v>
      </c>
      <c r="C14" s="9" t="s">
        <v>281</v>
      </c>
      <c r="D14" s="9" t="s">
        <v>194</v>
      </c>
      <c r="E14" s="9" t="s">
        <v>194</v>
      </c>
      <c r="F14" s="8" t="s">
        <v>160</v>
      </c>
      <c r="G14" s="8" t="s">
        <v>282</v>
      </c>
      <c r="H14" s="8" t="s">
        <v>283</v>
      </c>
      <c r="I14" s="8" t="s">
        <v>197</v>
      </c>
      <c r="J14" s="8" t="s">
        <v>198</v>
      </c>
      <c r="K14" s="8" t="s">
        <v>284</v>
      </c>
      <c r="L14" s="8" t="s">
        <v>285</v>
      </c>
      <c r="M14" s="8" t="s">
        <v>286</v>
      </c>
      <c r="N14" s="8" t="s">
        <v>191</v>
      </c>
      <c r="O14" s="8" t="s">
        <v>192</v>
      </c>
      <c r="P14" s="8"/>
      <c r="Q14" s="8"/>
      <c r="R14" s="8"/>
    </row>
    <row r="15" spans="1:18" x14ac:dyDescent="0.2">
      <c r="A15" s="8">
        <v>12098</v>
      </c>
      <c r="B15" s="9" t="s">
        <v>287</v>
      </c>
      <c r="C15" s="9" t="s">
        <v>288</v>
      </c>
      <c r="D15" s="9" t="s">
        <v>224</v>
      </c>
      <c r="E15" s="9" t="s">
        <v>224</v>
      </c>
      <c r="F15" s="8" t="s">
        <v>160</v>
      </c>
      <c r="G15" s="8" t="s">
        <v>289</v>
      </c>
      <c r="H15" s="8" t="s">
        <v>290</v>
      </c>
      <c r="I15" s="8" t="s">
        <v>197</v>
      </c>
      <c r="J15" s="8" t="s">
        <v>291</v>
      </c>
      <c r="K15" s="8" t="s">
        <v>292</v>
      </c>
      <c r="L15" s="8" t="s">
        <v>293</v>
      </c>
      <c r="M15" s="8" t="s">
        <v>294</v>
      </c>
      <c r="N15" s="8" t="s">
        <v>191</v>
      </c>
      <c r="O15" s="8" t="s">
        <v>192</v>
      </c>
      <c r="P15" s="8"/>
      <c r="Q15" s="8"/>
      <c r="R15" s="8"/>
    </row>
    <row r="16" spans="1:18" x14ac:dyDescent="0.2">
      <c r="A16" s="8">
        <v>12089</v>
      </c>
      <c r="B16" s="8" t="s">
        <v>295</v>
      </c>
      <c r="C16" s="8" t="s">
        <v>296</v>
      </c>
      <c r="D16" s="8" t="s">
        <v>183</v>
      </c>
      <c r="E16" s="8" t="s">
        <v>183</v>
      </c>
      <c r="F16" s="8" t="s">
        <v>160</v>
      </c>
      <c r="G16" s="8" t="s">
        <v>297</v>
      </c>
      <c r="H16" s="8" t="s">
        <v>298</v>
      </c>
      <c r="I16" s="8" t="s">
        <v>197</v>
      </c>
      <c r="J16" s="8" t="s">
        <v>234</v>
      </c>
      <c r="K16" s="8" t="s">
        <v>299</v>
      </c>
      <c r="L16" s="8" t="s">
        <v>300</v>
      </c>
      <c r="M16" s="8" t="s">
        <v>301</v>
      </c>
      <c r="N16" s="8" t="s">
        <v>191</v>
      </c>
      <c r="O16" s="8" t="s">
        <v>192</v>
      </c>
      <c r="P16" s="8"/>
      <c r="Q16" s="8"/>
      <c r="R16" s="8"/>
    </row>
    <row r="17" spans="1:18" x14ac:dyDescent="0.2">
      <c r="A17" s="8">
        <v>12082</v>
      </c>
      <c r="B17" s="8" t="s">
        <v>302</v>
      </c>
      <c r="C17" s="8" t="s">
        <v>303</v>
      </c>
      <c r="D17" s="8" t="s">
        <v>183</v>
      </c>
      <c r="E17" s="8" t="s">
        <v>183</v>
      </c>
      <c r="F17" s="8" t="s">
        <v>160</v>
      </c>
      <c r="G17" s="8" t="s">
        <v>304</v>
      </c>
      <c r="H17" s="8" t="s">
        <v>305</v>
      </c>
      <c r="I17" s="8" t="s">
        <v>197</v>
      </c>
      <c r="J17" s="8" t="s">
        <v>234</v>
      </c>
      <c r="K17" s="8" t="s">
        <v>306</v>
      </c>
      <c r="L17" s="8" t="s">
        <v>307</v>
      </c>
      <c r="M17" s="8" t="s">
        <v>308</v>
      </c>
      <c r="N17" s="8" t="s">
        <v>191</v>
      </c>
      <c r="O17" s="8" t="s">
        <v>192</v>
      </c>
      <c r="P17" s="8"/>
      <c r="Q17" s="8"/>
      <c r="R17" s="8"/>
    </row>
    <row r="18" spans="1:18" x14ac:dyDescent="0.2">
      <c r="A18" s="9">
        <v>12073</v>
      </c>
      <c r="B18" s="12">
        <v>45965</v>
      </c>
      <c r="C18" s="9" t="s">
        <v>309</v>
      </c>
      <c r="D18" s="9" t="s">
        <v>183</v>
      </c>
      <c r="E18" s="9" t="s">
        <v>183</v>
      </c>
      <c r="F18" s="8" t="s">
        <v>160</v>
      </c>
      <c r="G18" s="8" t="s">
        <v>310</v>
      </c>
      <c r="H18" s="8" t="s">
        <v>311</v>
      </c>
      <c r="I18" s="8" t="s">
        <v>197</v>
      </c>
      <c r="J18" s="8" t="s">
        <v>234</v>
      </c>
      <c r="K18" s="8" t="s">
        <v>312</v>
      </c>
      <c r="L18" s="8" t="s">
        <v>313</v>
      </c>
      <c r="M18" s="8" t="s">
        <v>237</v>
      </c>
      <c r="N18" s="8" t="s">
        <v>191</v>
      </c>
      <c r="O18" s="8" t="s">
        <v>192</v>
      </c>
      <c r="P18" s="8"/>
      <c r="Q18" s="8"/>
      <c r="R18" s="8"/>
    </row>
    <row r="19" spans="1:18" x14ac:dyDescent="0.2">
      <c r="A19" s="9">
        <v>12066</v>
      </c>
      <c r="B19" s="12">
        <v>45934</v>
      </c>
      <c r="C19" s="9" t="s">
        <v>314</v>
      </c>
      <c r="D19" s="9" t="s">
        <v>224</v>
      </c>
      <c r="E19" s="9" t="s">
        <v>224</v>
      </c>
      <c r="F19" s="8" t="s">
        <v>160</v>
      </c>
      <c r="G19" s="8" t="s">
        <v>315</v>
      </c>
      <c r="H19" s="8" t="s">
        <v>316</v>
      </c>
      <c r="I19" s="8" t="s">
        <v>317</v>
      </c>
      <c r="J19" s="8" t="s">
        <v>318</v>
      </c>
      <c r="K19" s="8" t="s">
        <v>319</v>
      </c>
      <c r="L19" s="8" t="s">
        <v>320</v>
      </c>
      <c r="M19" s="8" t="s">
        <v>220</v>
      </c>
      <c r="N19" s="8" t="s">
        <v>191</v>
      </c>
      <c r="O19" s="8" t="s">
        <v>192</v>
      </c>
      <c r="P19" s="8"/>
      <c r="Q19" s="8"/>
      <c r="R19" s="8"/>
    </row>
    <row r="20" spans="1:18" x14ac:dyDescent="0.2">
      <c r="A20" s="8">
        <v>11924</v>
      </c>
      <c r="B20" s="13">
        <v>45904</v>
      </c>
      <c r="C20" s="10" t="s">
        <v>321</v>
      </c>
      <c r="D20" s="10" t="s">
        <v>322</v>
      </c>
      <c r="E20" s="10" t="s">
        <v>322</v>
      </c>
      <c r="F20" s="8" t="s">
        <v>160</v>
      </c>
      <c r="G20" s="8" t="s">
        <v>215</v>
      </c>
      <c r="H20" s="8" t="s">
        <v>216</v>
      </c>
      <c r="I20" s="8" t="s">
        <v>197</v>
      </c>
      <c r="J20" s="8" t="s">
        <v>323</v>
      </c>
      <c r="K20" s="8" t="s">
        <v>324</v>
      </c>
      <c r="L20" s="8" t="s">
        <v>325</v>
      </c>
      <c r="M20" s="8" t="s">
        <v>326</v>
      </c>
      <c r="N20" s="8" t="s">
        <v>221</v>
      </c>
      <c r="O20" s="8" t="s">
        <v>222</v>
      </c>
      <c r="P20" s="8"/>
      <c r="Q20" s="8"/>
      <c r="R20" s="8"/>
    </row>
    <row r="21" spans="1:18" x14ac:dyDescent="0.2">
      <c r="A21" s="8">
        <v>11872</v>
      </c>
      <c r="B21" s="12">
        <v>45842</v>
      </c>
      <c r="C21" s="9" t="s">
        <v>327</v>
      </c>
      <c r="D21" s="9" t="s">
        <v>328</v>
      </c>
      <c r="E21" s="9" t="s">
        <v>328</v>
      </c>
      <c r="F21" s="8" t="s">
        <v>160</v>
      </c>
      <c r="G21" s="8" t="s">
        <v>329</v>
      </c>
      <c r="H21" s="8" t="s">
        <v>330</v>
      </c>
      <c r="I21" s="8" t="s">
        <v>331</v>
      </c>
      <c r="J21" s="8" t="s">
        <v>332</v>
      </c>
      <c r="K21" s="8" t="s">
        <v>333</v>
      </c>
      <c r="L21" s="8" t="s">
        <v>334</v>
      </c>
      <c r="M21" s="8" t="s">
        <v>335</v>
      </c>
      <c r="N21" s="8" t="s">
        <v>191</v>
      </c>
      <c r="O21" s="8" t="s">
        <v>192</v>
      </c>
      <c r="P21" s="8"/>
      <c r="Q21" s="8"/>
      <c r="R21" s="8"/>
    </row>
    <row r="22" spans="1:18" x14ac:dyDescent="0.2">
      <c r="A22" s="8">
        <v>11858</v>
      </c>
      <c r="B22" s="12">
        <v>45751</v>
      </c>
      <c r="C22" s="9" t="s">
        <v>336</v>
      </c>
      <c r="D22" s="9" t="s">
        <v>194</v>
      </c>
      <c r="E22" s="9" t="s">
        <v>194</v>
      </c>
      <c r="F22" s="8" t="s">
        <v>160</v>
      </c>
      <c r="G22" s="8" t="s">
        <v>337</v>
      </c>
      <c r="H22" s="8" t="s">
        <v>338</v>
      </c>
      <c r="I22" s="8" t="s">
        <v>243</v>
      </c>
      <c r="J22" s="8" t="s">
        <v>339</v>
      </c>
      <c r="K22" s="8" t="s">
        <v>340</v>
      </c>
      <c r="L22" s="8" t="s">
        <v>341</v>
      </c>
      <c r="M22" s="8" t="s">
        <v>286</v>
      </c>
      <c r="N22" s="8" t="s">
        <v>191</v>
      </c>
      <c r="O22" s="8" t="s">
        <v>192</v>
      </c>
      <c r="P22" s="8"/>
      <c r="Q22" s="8"/>
      <c r="R22" s="8"/>
    </row>
    <row r="23" spans="1:18" x14ac:dyDescent="0.2">
      <c r="A23" s="8">
        <v>11857</v>
      </c>
      <c r="B23" s="12">
        <v>45751</v>
      </c>
      <c r="C23" s="9" t="s">
        <v>342</v>
      </c>
      <c r="D23" s="9" t="s">
        <v>240</v>
      </c>
      <c r="E23" s="9" t="s">
        <v>240</v>
      </c>
      <c r="F23" s="8" t="s">
        <v>160</v>
      </c>
      <c r="G23" s="8" t="s">
        <v>337</v>
      </c>
      <c r="H23" s="8" t="s">
        <v>343</v>
      </c>
      <c r="I23" s="8" t="s">
        <v>243</v>
      </c>
      <c r="J23" s="8" t="s">
        <v>244</v>
      </c>
      <c r="K23" s="8" t="s">
        <v>344</v>
      </c>
      <c r="L23" s="8" t="s">
        <v>345</v>
      </c>
      <c r="M23" s="8" t="s">
        <v>294</v>
      </c>
      <c r="N23" s="8" t="s">
        <v>191</v>
      </c>
      <c r="O23" s="8" t="s">
        <v>192</v>
      </c>
      <c r="P23" s="8"/>
      <c r="Q23" s="8"/>
      <c r="R23" s="8"/>
    </row>
    <row r="24" spans="1:18" x14ac:dyDescent="0.2">
      <c r="A24" s="8">
        <v>11822</v>
      </c>
      <c r="B24" s="12">
        <v>45661</v>
      </c>
      <c r="C24" s="9" t="s">
        <v>346</v>
      </c>
      <c r="D24" s="9" t="s">
        <v>183</v>
      </c>
      <c r="E24" s="9" t="s">
        <v>183</v>
      </c>
      <c r="F24" s="8" t="s">
        <v>160</v>
      </c>
      <c r="G24" s="8" t="s">
        <v>347</v>
      </c>
      <c r="H24" s="8" t="s">
        <v>348</v>
      </c>
      <c r="I24" s="8" t="s">
        <v>243</v>
      </c>
      <c r="J24" s="8" t="s">
        <v>349</v>
      </c>
      <c r="K24" s="8" t="s">
        <v>350</v>
      </c>
      <c r="L24" s="8" t="s">
        <v>351</v>
      </c>
      <c r="M24" s="8" t="s">
        <v>230</v>
      </c>
      <c r="N24" s="8" t="s">
        <v>191</v>
      </c>
      <c r="O24" s="8" t="s">
        <v>192</v>
      </c>
      <c r="P24" s="8"/>
      <c r="Q24" s="8"/>
      <c r="R24" s="8"/>
    </row>
    <row r="25" spans="1:18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x14ac:dyDescent="0.2">
      <c r="A29" s="8"/>
      <c r="B29" s="8"/>
      <c r="C29" s="7" t="s">
        <v>91</v>
      </c>
      <c r="D29" s="7" t="s">
        <v>352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x14ac:dyDescent="0.2">
      <c r="A30" s="8"/>
      <c r="B30" s="8"/>
      <c r="C30" s="14">
        <v>45749</v>
      </c>
      <c r="D30" s="15">
        <v>-1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x14ac:dyDescent="0.2">
      <c r="A31" s="8"/>
      <c r="B31" s="8"/>
      <c r="C31" s="14">
        <v>45751</v>
      </c>
      <c r="D31" s="15">
        <v>-5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x14ac:dyDescent="0.2">
      <c r="A32" s="8"/>
      <c r="B32" s="8"/>
      <c r="C32" s="14">
        <v>45754</v>
      </c>
      <c r="D32" s="15">
        <v>-4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x14ac:dyDescent="0.2">
      <c r="A33" s="8"/>
      <c r="B33" s="8"/>
      <c r="C33" s="14">
        <v>45761</v>
      </c>
      <c r="D33" s="15">
        <v>-7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x14ac:dyDescent="0.2">
      <c r="A34" s="8"/>
      <c r="B34" s="8"/>
      <c r="C34" s="16">
        <v>45762</v>
      </c>
      <c r="D34" s="3">
        <v>-4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x14ac:dyDescent="0.2">
      <c r="A35" s="8"/>
      <c r="B35" s="8"/>
      <c r="C35" s="14">
        <v>45763</v>
      </c>
      <c r="D35" s="15">
        <v>-6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x14ac:dyDescent="0.2">
      <c r="A36" s="8"/>
      <c r="B36" s="8"/>
      <c r="C36" s="14">
        <v>45772</v>
      </c>
      <c r="D36" s="15">
        <v>-3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x14ac:dyDescent="0.2">
      <c r="A37" s="8"/>
      <c r="B37" s="8"/>
      <c r="C37" s="14">
        <v>45777</v>
      </c>
      <c r="D37" s="15">
        <v>-26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x14ac:dyDescent="0.2">
      <c r="A38" s="8"/>
      <c r="B38" s="8"/>
      <c r="C38" s="14">
        <v>45784</v>
      </c>
      <c r="D38" s="15">
        <v>-1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x14ac:dyDescent="0.2">
      <c r="A39" s="8"/>
      <c r="B39" s="8"/>
      <c r="C39" s="14">
        <v>45790</v>
      </c>
      <c r="D39" s="15">
        <v>-6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x14ac:dyDescent="0.2">
      <c r="A40" s="8"/>
      <c r="B40" s="8"/>
      <c r="C40" s="14">
        <v>45792</v>
      </c>
      <c r="D40" s="15">
        <v>-10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x14ac:dyDescent="0.2">
      <c r="A41" s="8"/>
      <c r="B41" s="8"/>
      <c r="C41" s="14">
        <v>45793</v>
      </c>
      <c r="D41" s="15">
        <v>-1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x14ac:dyDescent="0.2">
      <c r="A42" s="8"/>
      <c r="B42" s="8"/>
      <c r="C42" s="14">
        <v>45796</v>
      </c>
      <c r="D42" s="15">
        <v>-3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IMC</vt:lpstr>
      <vt:lpstr>VS</vt:lpstr>
      <vt:lpstr>INVENTARIO LATIN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Yeferson Romero</dc:creator>
  <cp:lastModifiedBy>YEFERSON ROMERO </cp:lastModifiedBy>
  <cp:lastPrinted>2025-03-04T16:58:21Z</cp:lastPrinted>
  <dcterms:created xsi:type="dcterms:W3CDTF">2025-03-04T17:08:00Z</dcterms:created>
  <dcterms:modified xsi:type="dcterms:W3CDTF">2026-05-04T20:54:07Z</dcterms:modified>
</cp:coreProperties>
</file>